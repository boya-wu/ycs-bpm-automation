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3.3\共用暫存\Weber\PM\"/>
    </mc:Choice>
  </mc:AlternateContent>
  <xr:revisionPtr revIDLastSave="0" documentId="13_ncr:1_{6816F034-85DB-4392-AB6B-038D02C72470}" xr6:coauthVersionLast="36" xr6:coauthVersionMax="47" xr10:uidLastSave="{00000000-0000-0000-0000-000000000000}"/>
  <bookViews>
    <workbookView xWindow="6252" yWindow="0" windowWidth="17448" windowHeight="16632" xr2:uid="{00000000-000D-0000-FFFF-FFFF00000000}"/>
  </bookViews>
  <sheets>
    <sheet name="批次" sheetId="1" r:id="rId1"/>
    <sheet name="說明" sheetId="2" r:id="rId2"/>
  </sheets>
  <calcPr calcId="191029"/>
</workbook>
</file>

<file path=xl/calcChain.xml><?xml version="1.0" encoding="utf-8"?>
<calcChain xmlns="http://schemas.openxmlformats.org/spreadsheetml/2006/main">
  <c r="F122" i="1" l="1"/>
  <c r="E122" i="1"/>
  <c r="F119" i="1"/>
  <c r="E119" i="1"/>
  <c r="F116" i="1"/>
  <c r="E116" i="1"/>
  <c r="F113" i="1"/>
  <c r="E113" i="1"/>
  <c r="F110" i="1"/>
  <c r="E110" i="1"/>
  <c r="F107" i="1"/>
  <c r="E107" i="1"/>
  <c r="F104" i="1"/>
  <c r="E104" i="1"/>
  <c r="A69" i="1"/>
  <c r="A70" i="1" s="1"/>
  <c r="A72" i="1"/>
  <c r="A73" i="1" s="1"/>
  <c r="A75" i="1"/>
  <c r="A76" i="1" s="1"/>
  <c r="A78" i="1"/>
  <c r="A79" i="1"/>
  <c r="A81" i="1"/>
  <c r="A82" i="1"/>
  <c r="A84" i="1"/>
  <c r="A85" i="1" s="1"/>
  <c r="A87" i="1"/>
  <c r="A88" i="1" s="1"/>
  <c r="A90" i="1"/>
  <c r="A91" i="1"/>
  <c r="A93" i="1"/>
  <c r="A94" i="1"/>
  <c r="A96" i="1"/>
  <c r="A97" i="1" s="1"/>
  <c r="A99" i="1"/>
  <c r="A100" i="1"/>
  <c r="A102" i="1"/>
  <c r="A103" i="1"/>
  <c r="A105" i="1"/>
  <c r="A106" i="1"/>
  <c r="A108" i="1"/>
  <c r="A109" i="1" s="1"/>
  <c r="A111" i="1"/>
  <c r="A112" i="1"/>
  <c r="A114" i="1"/>
  <c r="A115" i="1"/>
  <c r="A117" i="1"/>
  <c r="A118" i="1"/>
  <c r="A120" i="1"/>
  <c r="A121" i="1" s="1"/>
</calcChain>
</file>

<file path=xl/sharedStrings.xml><?xml version="1.0" encoding="utf-8"?>
<sst xmlns="http://schemas.openxmlformats.org/spreadsheetml/2006/main" count="366" uniqueCount="71">
  <si>
    <t>專案代號</t>
  </si>
  <si>
    <t>PM工號</t>
  </si>
  <si>
    <t>序號</t>
  </si>
  <si>
    <t>工作項目名稱</t>
  </si>
  <si>
    <t>預估工時</t>
  </si>
  <si>
    <t>警示工時</t>
  </si>
  <si>
    <t>PY265-0080</t>
  </si>
  <si>
    <t>10101209</t>
  </si>
  <si>
    <t>1</t>
  </si>
  <si>
    <t>(軟體)軟體建置開發及測試</t>
  </si>
  <si>
    <t>100</t>
  </si>
  <si>
    <t>2</t>
  </si>
  <si>
    <t>(軟體)專案庶務及聯繫</t>
  </si>
  <si>
    <t>3</t>
  </si>
  <si>
    <t>(協作單位)專案執行</t>
  </si>
  <si>
    <t>PM WorkItem 批次匯入 — 填寫說明</t>
  </si>
  <si>
    <t>1. 請在「批次」工作表填寫；每一個專案固定 3 列（序號 1～3）。</t>
  </si>
  <si>
    <t>2. 專案代號：例如 PY265-0080；PM工號：建立 PM 對應時的新增人員工號。</t>
  </si>
  <si>
    <t>3. 工作項目名稱請與範例一致（含前綴軟體/協作單位），工時可依專案調整。</t>
  </si>
  <si>
    <t>4. 可一次填多個專案：同一專案代號+PM工號連續 3 列，再填下一專案。</t>
  </si>
  <si>
    <t>5. 執行：npm run test:workitem-adder（或設定環境變數 BPM_PM_WORK_ITEMS_XLSX 指向你的檔案）</t>
  </si>
  <si>
    <t>欄位</t>
  </si>
  <si>
    <t>說明</t>
  </si>
  <si>
    <t>範例</t>
  </si>
  <si>
    <t>BPM 專案 PY 編號</t>
  </si>
  <si>
    <t>新增 PM 對應用員工編號</t>
  </si>
  <si>
    <t>WorkItem 序號 1～3</t>
  </si>
  <si>
    <t>三項固定名稱</t>
  </si>
  <si>
    <t>預估總工時</t>
  </si>
  <si>
    <t>警示門檻工時</t>
  </si>
  <si>
    <t>PY245-0183</t>
  </si>
  <si>
    <t>PY245-0247</t>
  </si>
  <si>
    <t>PY255-0004</t>
  </si>
  <si>
    <t>PY255-0017</t>
  </si>
  <si>
    <t>PY255-0035</t>
  </si>
  <si>
    <t>PY255-0037</t>
  </si>
  <si>
    <t>PY255-0038</t>
  </si>
  <si>
    <t>PY255-0039</t>
  </si>
  <si>
    <t>PY255-0044</t>
  </si>
  <si>
    <t>PY255-0045</t>
  </si>
  <si>
    <t>PY255-0062</t>
  </si>
  <si>
    <t>PY255-0072</t>
  </si>
  <si>
    <t>PY255-0085</t>
  </si>
  <si>
    <t>PY255-0086</t>
  </si>
  <si>
    <t>PY255-0087</t>
  </si>
  <si>
    <t>PY255-0124</t>
  </si>
  <si>
    <t>PY255-0257</t>
  </si>
  <si>
    <t>PY265-0001</t>
  </si>
  <si>
    <t>PY265-0002</t>
  </si>
  <si>
    <t>PY265-0010</t>
  </si>
  <si>
    <t>PY265-0062</t>
  </si>
  <si>
    <t>PY265-0087</t>
  </si>
  <si>
    <t>PY245-0224</t>
  </si>
  <si>
    <t>PY245-0225</t>
  </si>
  <si>
    <t>PY245-0229</t>
  </si>
  <si>
    <t>PY245-0230</t>
  </si>
  <si>
    <t>PY245-0236</t>
  </si>
  <si>
    <t>PY255-0051</t>
  </si>
  <si>
    <t>PY255-0052</t>
  </si>
  <si>
    <t>PY255-0108</t>
  </si>
  <si>
    <t>PY255-0114</t>
  </si>
  <si>
    <t>PY255-0115</t>
  </si>
  <si>
    <t>PY255-0128</t>
  </si>
  <si>
    <t>PY255-0129</t>
  </si>
  <si>
    <t>PY255-0133</t>
  </si>
  <si>
    <t>PY255-0134</t>
  </si>
  <si>
    <t>PY255-0139</t>
  </si>
  <si>
    <t>PY255-0140</t>
  </si>
  <si>
    <t>PY255-0145</t>
  </si>
  <si>
    <t>PY255-0146</t>
  </si>
  <si>
    <t>PY255-0213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</si>
</sst>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4"/>
  <sheetViews>
    <sheetView tabSelected="1" topLeftCell="A55" workbookViewId="0">
      <selection activeCell="G62" sqref="G62"/>
    </sheetView>
  </sheetViews>
  <sheetFormatPr defaultRowHeight="15.6" x14ac:dyDescent="0.3"/>
  <cols>
    <col min="1" max="1" width="15" style="1" bestFit="1" customWidth="1"/>
    <col min="2" max="2" width="12.44140625" style="1" bestFit="1" customWidth="1"/>
    <col min="3" max="3" width="6" style="1" bestFit="1" customWidth="1"/>
    <col min="4" max="4" width="29" style="1" bestFit="1" customWidth="1"/>
    <col min="5" max="6" width="10.44140625" style="1" bestFit="1" customWidth="1"/>
    <col min="7" max="16384" width="8.88671875" style="1"/>
  </cols>
  <sheetData>
    <row r="1" spans="1:6" ht="16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30</v>
      </c>
      <c r="B2" s="3">
        <v>10101312</v>
      </c>
      <c r="C2" s="4" t="s">
        <v>8</v>
      </c>
      <c r="D2" s="4" t="s">
        <v>9</v>
      </c>
      <c r="E2" s="4">
        <v>220</v>
      </c>
      <c r="F2" s="5">
        <v>200</v>
      </c>
    </row>
    <row r="3" spans="1:6" x14ac:dyDescent="0.3">
      <c r="A3" s="6" t="s">
        <v>30</v>
      </c>
      <c r="B3" s="7">
        <v>10101312</v>
      </c>
      <c r="C3" s="8" t="s">
        <v>11</v>
      </c>
      <c r="D3" s="8" t="s">
        <v>12</v>
      </c>
      <c r="E3" s="8">
        <v>220</v>
      </c>
      <c r="F3" s="9">
        <v>200</v>
      </c>
    </row>
    <row r="4" spans="1:6" ht="16.2" thickBot="1" x14ac:dyDescent="0.35">
      <c r="A4" s="10" t="s">
        <v>30</v>
      </c>
      <c r="B4" s="11">
        <v>10101312</v>
      </c>
      <c r="C4" s="12" t="s">
        <v>13</v>
      </c>
      <c r="D4" s="12" t="s">
        <v>14</v>
      </c>
      <c r="E4" s="12">
        <v>110</v>
      </c>
      <c r="F4" s="13">
        <v>100</v>
      </c>
    </row>
    <row r="5" spans="1:6" x14ac:dyDescent="0.3">
      <c r="A5" s="2" t="s">
        <v>31</v>
      </c>
      <c r="B5" s="3">
        <v>10101312</v>
      </c>
      <c r="C5" s="4" t="s">
        <v>8</v>
      </c>
      <c r="D5" s="4" t="s">
        <v>9</v>
      </c>
      <c r="E5" s="4">
        <v>0</v>
      </c>
      <c r="F5" s="5">
        <v>0</v>
      </c>
    </row>
    <row r="6" spans="1:6" x14ac:dyDescent="0.3">
      <c r="A6" s="6" t="s">
        <v>31</v>
      </c>
      <c r="B6" s="7">
        <v>10101312</v>
      </c>
      <c r="C6" s="8" t="s">
        <v>11</v>
      </c>
      <c r="D6" s="8" t="s">
        <v>12</v>
      </c>
      <c r="E6" s="8">
        <v>0</v>
      </c>
      <c r="F6" s="9">
        <v>0</v>
      </c>
    </row>
    <row r="7" spans="1:6" ht="16.2" thickBot="1" x14ac:dyDescent="0.35">
      <c r="A7" s="10" t="s">
        <v>31</v>
      </c>
      <c r="B7" s="11">
        <v>10101312</v>
      </c>
      <c r="C7" s="12" t="s">
        <v>13</v>
      </c>
      <c r="D7" s="12" t="s">
        <v>14</v>
      </c>
      <c r="E7" s="12">
        <v>0</v>
      </c>
      <c r="F7" s="13">
        <v>0</v>
      </c>
    </row>
    <row r="8" spans="1:6" x14ac:dyDescent="0.3">
      <c r="A8" s="2" t="s">
        <v>32</v>
      </c>
      <c r="B8" s="3">
        <v>10101312</v>
      </c>
      <c r="C8" s="4" t="s">
        <v>8</v>
      </c>
      <c r="D8" s="4" t="s">
        <v>9</v>
      </c>
      <c r="E8" s="4">
        <v>0</v>
      </c>
      <c r="F8" s="5">
        <v>0</v>
      </c>
    </row>
    <row r="9" spans="1:6" x14ac:dyDescent="0.3">
      <c r="A9" s="6" t="s">
        <v>32</v>
      </c>
      <c r="B9" s="7">
        <v>10101312</v>
      </c>
      <c r="C9" s="8" t="s">
        <v>11</v>
      </c>
      <c r="D9" s="8" t="s">
        <v>12</v>
      </c>
      <c r="E9" s="8">
        <v>0</v>
      </c>
      <c r="F9" s="9">
        <v>0</v>
      </c>
    </row>
    <row r="10" spans="1:6" ht="16.2" thickBot="1" x14ac:dyDescent="0.35">
      <c r="A10" s="10" t="s">
        <v>32</v>
      </c>
      <c r="B10" s="11">
        <v>10101312</v>
      </c>
      <c r="C10" s="12" t="s">
        <v>13</v>
      </c>
      <c r="D10" s="12" t="s">
        <v>14</v>
      </c>
      <c r="E10" s="12">
        <v>0</v>
      </c>
      <c r="F10" s="13">
        <v>0</v>
      </c>
    </row>
    <row r="11" spans="1:6" x14ac:dyDescent="0.3">
      <c r="A11" s="2" t="s">
        <v>33</v>
      </c>
      <c r="B11" s="3">
        <v>10101312</v>
      </c>
      <c r="C11" s="4" t="s">
        <v>8</v>
      </c>
      <c r="D11" s="4" t="s">
        <v>9</v>
      </c>
      <c r="E11" s="4">
        <v>0</v>
      </c>
      <c r="F11" s="5">
        <v>0</v>
      </c>
    </row>
    <row r="12" spans="1:6" x14ac:dyDescent="0.3">
      <c r="A12" s="6" t="s">
        <v>33</v>
      </c>
      <c r="B12" s="7">
        <v>10101312</v>
      </c>
      <c r="C12" s="8" t="s">
        <v>11</v>
      </c>
      <c r="D12" s="8" t="s">
        <v>12</v>
      </c>
      <c r="E12" s="8">
        <v>100</v>
      </c>
      <c r="F12" s="9">
        <v>84</v>
      </c>
    </row>
    <row r="13" spans="1:6" ht="16.2" thickBot="1" x14ac:dyDescent="0.35">
      <c r="A13" s="10" t="s">
        <v>33</v>
      </c>
      <c r="B13" s="11">
        <v>10101312</v>
      </c>
      <c r="C13" s="12" t="s">
        <v>13</v>
      </c>
      <c r="D13" s="12" t="s">
        <v>14</v>
      </c>
      <c r="E13" s="12">
        <v>200</v>
      </c>
      <c r="F13" s="13">
        <v>184</v>
      </c>
    </row>
    <row r="14" spans="1:6" x14ac:dyDescent="0.3">
      <c r="A14" s="2" t="s">
        <v>34</v>
      </c>
      <c r="B14" s="3">
        <v>10101312</v>
      </c>
      <c r="C14" s="4" t="s">
        <v>8</v>
      </c>
      <c r="D14" s="4" t="s">
        <v>9</v>
      </c>
      <c r="E14" s="4">
        <v>125</v>
      </c>
      <c r="F14" s="5">
        <v>105</v>
      </c>
    </row>
    <row r="15" spans="1:6" x14ac:dyDescent="0.3">
      <c r="A15" s="6" t="s">
        <v>34</v>
      </c>
      <c r="B15" s="7">
        <v>10101312</v>
      </c>
      <c r="C15" s="8" t="s">
        <v>11</v>
      </c>
      <c r="D15" s="8" t="s">
        <v>12</v>
      </c>
      <c r="E15" s="8">
        <v>125</v>
      </c>
      <c r="F15" s="9">
        <v>105</v>
      </c>
    </row>
    <row r="16" spans="1:6" ht="16.2" thickBot="1" x14ac:dyDescent="0.35">
      <c r="A16" s="10" t="s">
        <v>34</v>
      </c>
      <c r="B16" s="11">
        <v>10101312</v>
      </c>
      <c r="C16" s="12" t="s">
        <v>13</v>
      </c>
      <c r="D16" s="12" t="s">
        <v>14</v>
      </c>
      <c r="E16" s="12">
        <v>100</v>
      </c>
      <c r="F16" s="13">
        <v>84</v>
      </c>
    </row>
    <row r="17" spans="1:6" x14ac:dyDescent="0.3">
      <c r="A17" s="2" t="s">
        <v>35</v>
      </c>
      <c r="B17" s="3">
        <v>10101312</v>
      </c>
      <c r="C17" s="4" t="s">
        <v>8</v>
      </c>
      <c r="D17" s="4" t="s">
        <v>9</v>
      </c>
      <c r="E17" s="4">
        <v>100</v>
      </c>
      <c r="F17" s="5">
        <v>84</v>
      </c>
    </row>
    <row r="18" spans="1:6" x14ac:dyDescent="0.3">
      <c r="A18" s="6" t="s">
        <v>35</v>
      </c>
      <c r="B18" s="7">
        <v>10101312</v>
      </c>
      <c r="C18" s="8" t="s">
        <v>11</v>
      </c>
      <c r="D18" s="8" t="s">
        <v>12</v>
      </c>
      <c r="E18" s="8">
        <v>100</v>
      </c>
      <c r="F18" s="9">
        <v>84</v>
      </c>
    </row>
    <row r="19" spans="1:6" ht="16.2" thickBot="1" x14ac:dyDescent="0.35">
      <c r="A19" s="10" t="s">
        <v>35</v>
      </c>
      <c r="B19" s="11">
        <v>10101312</v>
      </c>
      <c r="C19" s="12" t="s">
        <v>13</v>
      </c>
      <c r="D19" s="12" t="s">
        <v>14</v>
      </c>
      <c r="E19" s="12">
        <v>100</v>
      </c>
      <c r="F19" s="13">
        <v>84</v>
      </c>
    </row>
    <row r="20" spans="1:6" x14ac:dyDescent="0.3">
      <c r="A20" s="2" t="s">
        <v>36</v>
      </c>
      <c r="B20" s="3">
        <v>10101312</v>
      </c>
      <c r="C20" s="4" t="s">
        <v>8</v>
      </c>
      <c r="D20" s="4" t="s">
        <v>9</v>
      </c>
      <c r="E20" s="4">
        <v>0</v>
      </c>
      <c r="F20" s="5">
        <v>0</v>
      </c>
    </row>
    <row r="21" spans="1:6" x14ac:dyDescent="0.3">
      <c r="A21" s="6" t="s">
        <v>36</v>
      </c>
      <c r="B21" s="7">
        <v>10101312</v>
      </c>
      <c r="C21" s="8" t="s">
        <v>11</v>
      </c>
      <c r="D21" s="8" t="s">
        <v>12</v>
      </c>
      <c r="E21" s="8">
        <v>0</v>
      </c>
      <c r="F21" s="9">
        <v>0</v>
      </c>
    </row>
    <row r="22" spans="1:6" ht="16.2" thickBot="1" x14ac:dyDescent="0.35">
      <c r="A22" s="10" t="s">
        <v>36</v>
      </c>
      <c r="B22" s="11">
        <v>10101312</v>
      </c>
      <c r="C22" s="12" t="s">
        <v>13</v>
      </c>
      <c r="D22" s="12" t="s">
        <v>14</v>
      </c>
      <c r="E22" s="12">
        <v>0</v>
      </c>
      <c r="F22" s="13">
        <v>0</v>
      </c>
    </row>
    <row r="23" spans="1:6" x14ac:dyDescent="0.3">
      <c r="A23" s="2" t="s">
        <v>37</v>
      </c>
      <c r="B23" s="3">
        <v>10101312</v>
      </c>
      <c r="C23" s="4" t="s">
        <v>8</v>
      </c>
      <c r="D23" s="4" t="s">
        <v>9</v>
      </c>
      <c r="E23" s="4">
        <v>0</v>
      </c>
      <c r="F23" s="5">
        <v>0</v>
      </c>
    </row>
    <row r="24" spans="1:6" x14ac:dyDescent="0.3">
      <c r="A24" s="6" t="s">
        <v>37</v>
      </c>
      <c r="B24" s="7">
        <v>10101312</v>
      </c>
      <c r="C24" s="8" t="s">
        <v>11</v>
      </c>
      <c r="D24" s="8" t="s">
        <v>12</v>
      </c>
      <c r="E24" s="8">
        <v>25</v>
      </c>
      <c r="F24" s="9">
        <v>20</v>
      </c>
    </row>
    <row r="25" spans="1:6" ht="16.2" thickBot="1" x14ac:dyDescent="0.35">
      <c r="A25" s="10" t="s">
        <v>37</v>
      </c>
      <c r="B25" s="11">
        <v>10101312</v>
      </c>
      <c r="C25" s="12" t="s">
        <v>13</v>
      </c>
      <c r="D25" s="12" t="s">
        <v>14</v>
      </c>
      <c r="E25" s="12">
        <v>0</v>
      </c>
      <c r="F25" s="13">
        <v>0</v>
      </c>
    </row>
    <row r="26" spans="1:6" x14ac:dyDescent="0.3">
      <c r="A26" s="2" t="s">
        <v>38</v>
      </c>
      <c r="B26" s="3">
        <v>10101312</v>
      </c>
      <c r="C26" s="4" t="s">
        <v>8</v>
      </c>
      <c r="D26" s="4" t="s">
        <v>9</v>
      </c>
      <c r="E26" s="4">
        <v>0</v>
      </c>
      <c r="F26" s="5">
        <v>0</v>
      </c>
    </row>
    <row r="27" spans="1:6" x14ac:dyDescent="0.3">
      <c r="A27" s="6" t="s">
        <v>38</v>
      </c>
      <c r="B27" s="7">
        <v>10101312</v>
      </c>
      <c r="C27" s="8" t="s">
        <v>11</v>
      </c>
      <c r="D27" s="8" t="s">
        <v>12</v>
      </c>
      <c r="E27" s="8">
        <v>0</v>
      </c>
      <c r="F27" s="9">
        <v>0</v>
      </c>
    </row>
    <row r="28" spans="1:6" ht="16.2" thickBot="1" x14ac:dyDescent="0.35">
      <c r="A28" s="10" t="s">
        <v>38</v>
      </c>
      <c r="B28" s="11">
        <v>10101312</v>
      </c>
      <c r="C28" s="12" t="s">
        <v>13</v>
      </c>
      <c r="D28" s="12" t="s">
        <v>14</v>
      </c>
      <c r="E28" s="12">
        <v>0</v>
      </c>
      <c r="F28" s="13">
        <v>0</v>
      </c>
    </row>
    <row r="29" spans="1:6" x14ac:dyDescent="0.3">
      <c r="A29" s="2" t="s">
        <v>39</v>
      </c>
      <c r="B29" s="3">
        <v>10101312</v>
      </c>
      <c r="C29" s="4" t="s">
        <v>8</v>
      </c>
      <c r="D29" s="4" t="s">
        <v>9</v>
      </c>
      <c r="E29" s="4">
        <v>0</v>
      </c>
      <c r="F29" s="5">
        <v>0</v>
      </c>
    </row>
    <row r="30" spans="1:6" x14ac:dyDescent="0.3">
      <c r="A30" s="6" t="s">
        <v>39</v>
      </c>
      <c r="B30" s="7">
        <v>10101312</v>
      </c>
      <c r="C30" s="8" t="s">
        <v>11</v>
      </c>
      <c r="D30" s="8" t="s">
        <v>12</v>
      </c>
      <c r="E30" s="8">
        <v>0</v>
      </c>
      <c r="F30" s="9">
        <v>0</v>
      </c>
    </row>
    <row r="31" spans="1:6" ht="16.2" thickBot="1" x14ac:dyDescent="0.35">
      <c r="A31" s="10" t="s">
        <v>39</v>
      </c>
      <c r="B31" s="11">
        <v>10101312</v>
      </c>
      <c r="C31" s="12" t="s">
        <v>13</v>
      </c>
      <c r="D31" s="12" t="s">
        <v>14</v>
      </c>
      <c r="E31" s="12">
        <v>0</v>
      </c>
      <c r="F31" s="13">
        <v>0</v>
      </c>
    </row>
    <row r="32" spans="1:6" x14ac:dyDescent="0.3">
      <c r="A32" s="2" t="s">
        <v>40</v>
      </c>
      <c r="B32" s="3">
        <v>10101312</v>
      </c>
      <c r="C32" s="4" t="s">
        <v>8</v>
      </c>
      <c r="D32" s="4" t="s">
        <v>9</v>
      </c>
      <c r="E32" s="4">
        <v>150</v>
      </c>
      <c r="F32" s="5">
        <v>134</v>
      </c>
    </row>
    <row r="33" spans="1:6" x14ac:dyDescent="0.3">
      <c r="A33" s="6" t="s">
        <v>40</v>
      </c>
      <c r="B33" s="7">
        <v>10101312</v>
      </c>
      <c r="C33" s="8" t="s">
        <v>11</v>
      </c>
      <c r="D33" s="8" t="s">
        <v>12</v>
      </c>
      <c r="E33" s="8">
        <v>100</v>
      </c>
      <c r="F33" s="9">
        <v>84</v>
      </c>
    </row>
    <row r="34" spans="1:6" ht="16.2" thickBot="1" x14ac:dyDescent="0.35">
      <c r="A34" s="10" t="s">
        <v>40</v>
      </c>
      <c r="B34" s="11">
        <v>10101312</v>
      </c>
      <c r="C34" s="12" t="s">
        <v>13</v>
      </c>
      <c r="D34" s="12" t="s">
        <v>14</v>
      </c>
      <c r="E34" s="12">
        <v>150</v>
      </c>
      <c r="F34" s="13">
        <v>134</v>
      </c>
    </row>
    <row r="35" spans="1:6" x14ac:dyDescent="0.3">
      <c r="A35" s="2" t="s">
        <v>41</v>
      </c>
      <c r="B35" s="3">
        <v>10101312</v>
      </c>
      <c r="C35" s="4" t="s">
        <v>8</v>
      </c>
      <c r="D35" s="4" t="s">
        <v>9</v>
      </c>
      <c r="E35" s="4">
        <v>250</v>
      </c>
      <c r="F35" s="5">
        <v>220</v>
      </c>
    </row>
    <row r="36" spans="1:6" x14ac:dyDescent="0.3">
      <c r="A36" s="6" t="s">
        <v>41</v>
      </c>
      <c r="B36" s="7">
        <v>10101312</v>
      </c>
      <c r="C36" s="8" t="s">
        <v>11</v>
      </c>
      <c r="D36" s="8" t="s">
        <v>12</v>
      </c>
      <c r="E36" s="8">
        <v>100</v>
      </c>
      <c r="F36" s="9">
        <v>84</v>
      </c>
    </row>
    <row r="37" spans="1:6" ht="16.2" thickBot="1" x14ac:dyDescent="0.35">
      <c r="A37" s="10" t="s">
        <v>41</v>
      </c>
      <c r="B37" s="11">
        <v>10101312</v>
      </c>
      <c r="C37" s="12" t="s">
        <v>13</v>
      </c>
      <c r="D37" s="12" t="s">
        <v>14</v>
      </c>
      <c r="E37" s="12">
        <v>200</v>
      </c>
      <c r="F37" s="13">
        <v>184</v>
      </c>
    </row>
    <row r="38" spans="1:6" x14ac:dyDescent="0.3">
      <c r="A38" s="2" t="s">
        <v>42</v>
      </c>
      <c r="B38" s="3">
        <v>10101312</v>
      </c>
      <c r="C38" s="4" t="s">
        <v>8</v>
      </c>
      <c r="D38" s="4" t="s">
        <v>9</v>
      </c>
      <c r="E38" s="4">
        <v>0</v>
      </c>
      <c r="F38" s="5">
        <v>0</v>
      </c>
    </row>
    <row r="39" spans="1:6" x14ac:dyDescent="0.3">
      <c r="A39" s="6" t="s">
        <v>42</v>
      </c>
      <c r="B39" s="7">
        <v>10101312</v>
      </c>
      <c r="C39" s="8" t="s">
        <v>11</v>
      </c>
      <c r="D39" s="8" t="s">
        <v>12</v>
      </c>
      <c r="E39" s="8">
        <v>0</v>
      </c>
      <c r="F39" s="9">
        <v>0</v>
      </c>
    </row>
    <row r="40" spans="1:6" ht="16.2" thickBot="1" x14ac:dyDescent="0.35">
      <c r="A40" s="10" t="s">
        <v>42</v>
      </c>
      <c r="B40" s="11">
        <v>10101312</v>
      </c>
      <c r="C40" s="12" t="s">
        <v>13</v>
      </c>
      <c r="D40" s="12" t="s">
        <v>14</v>
      </c>
      <c r="E40" s="12">
        <v>0</v>
      </c>
      <c r="F40" s="13">
        <v>0</v>
      </c>
    </row>
    <row r="41" spans="1:6" x14ac:dyDescent="0.3">
      <c r="A41" s="2" t="s">
        <v>43</v>
      </c>
      <c r="B41" s="3">
        <v>10101312</v>
      </c>
      <c r="C41" s="4" t="s">
        <v>8</v>
      </c>
      <c r="D41" s="4" t="s">
        <v>9</v>
      </c>
      <c r="E41" s="4">
        <v>80</v>
      </c>
      <c r="F41" s="5">
        <v>72</v>
      </c>
    </row>
    <row r="42" spans="1:6" x14ac:dyDescent="0.3">
      <c r="A42" s="6" t="s">
        <v>43</v>
      </c>
      <c r="B42" s="7">
        <v>10101312</v>
      </c>
      <c r="C42" s="8" t="s">
        <v>11</v>
      </c>
      <c r="D42" s="8" t="s">
        <v>12</v>
      </c>
      <c r="E42" s="8">
        <v>20</v>
      </c>
      <c r="F42" s="9">
        <v>15</v>
      </c>
    </row>
    <row r="43" spans="1:6" ht="16.2" thickBot="1" x14ac:dyDescent="0.35">
      <c r="A43" s="10" t="s">
        <v>43</v>
      </c>
      <c r="B43" s="11">
        <v>10101312</v>
      </c>
      <c r="C43" s="12" t="s">
        <v>13</v>
      </c>
      <c r="D43" s="12" t="s">
        <v>14</v>
      </c>
      <c r="E43" s="12">
        <v>0</v>
      </c>
      <c r="F43" s="13">
        <v>0</v>
      </c>
    </row>
    <row r="44" spans="1:6" x14ac:dyDescent="0.3">
      <c r="A44" s="2" t="s">
        <v>44</v>
      </c>
      <c r="B44" s="3">
        <v>10101312</v>
      </c>
      <c r="C44" s="4" t="s">
        <v>8</v>
      </c>
      <c r="D44" s="4" t="s">
        <v>9</v>
      </c>
      <c r="E44" s="4">
        <v>0</v>
      </c>
      <c r="F44" s="5">
        <v>0</v>
      </c>
    </row>
    <row r="45" spans="1:6" x14ac:dyDescent="0.3">
      <c r="A45" s="6" t="s">
        <v>44</v>
      </c>
      <c r="B45" s="7">
        <v>10101312</v>
      </c>
      <c r="C45" s="8" t="s">
        <v>11</v>
      </c>
      <c r="D45" s="8" t="s">
        <v>12</v>
      </c>
      <c r="E45" s="8">
        <v>0</v>
      </c>
      <c r="F45" s="9">
        <v>0</v>
      </c>
    </row>
    <row r="46" spans="1:6" ht="16.2" thickBot="1" x14ac:dyDescent="0.35">
      <c r="A46" s="10" t="s">
        <v>44</v>
      </c>
      <c r="B46" s="11">
        <v>10101312</v>
      </c>
      <c r="C46" s="12" t="s">
        <v>13</v>
      </c>
      <c r="D46" s="12" t="s">
        <v>14</v>
      </c>
      <c r="E46" s="12">
        <v>0</v>
      </c>
      <c r="F46" s="13">
        <v>0</v>
      </c>
    </row>
    <row r="47" spans="1:6" x14ac:dyDescent="0.3">
      <c r="A47" s="2" t="s">
        <v>45</v>
      </c>
      <c r="B47" s="3">
        <v>10101312</v>
      </c>
      <c r="C47" s="4" t="s">
        <v>8</v>
      </c>
      <c r="D47" s="4" t="s">
        <v>9</v>
      </c>
      <c r="E47" s="4">
        <v>100</v>
      </c>
      <c r="F47" s="5">
        <v>84</v>
      </c>
    </row>
    <row r="48" spans="1:6" x14ac:dyDescent="0.3">
      <c r="A48" s="6" t="s">
        <v>45</v>
      </c>
      <c r="B48" s="7">
        <v>10101312</v>
      </c>
      <c r="C48" s="8" t="s">
        <v>11</v>
      </c>
      <c r="D48" s="8" t="s">
        <v>12</v>
      </c>
      <c r="E48" s="8">
        <v>50</v>
      </c>
      <c r="F48" s="9">
        <v>42</v>
      </c>
    </row>
    <row r="49" spans="1:6" ht="16.2" thickBot="1" x14ac:dyDescent="0.35">
      <c r="A49" s="10" t="s">
        <v>45</v>
      </c>
      <c r="B49" s="11">
        <v>10101312</v>
      </c>
      <c r="C49" s="12" t="s">
        <v>13</v>
      </c>
      <c r="D49" s="12" t="s">
        <v>14</v>
      </c>
      <c r="E49" s="12">
        <v>0</v>
      </c>
      <c r="F49" s="13">
        <v>0</v>
      </c>
    </row>
    <row r="50" spans="1:6" x14ac:dyDescent="0.3">
      <c r="A50" s="2" t="s">
        <v>46</v>
      </c>
      <c r="B50" s="3">
        <v>10101312</v>
      </c>
      <c r="C50" s="4" t="s">
        <v>8</v>
      </c>
      <c r="D50" s="4" t="s">
        <v>9</v>
      </c>
      <c r="E50" s="4">
        <v>0</v>
      </c>
      <c r="F50" s="5">
        <v>0</v>
      </c>
    </row>
    <row r="51" spans="1:6" x14ac:dyDescent="0.3">
      <c r="A51" s="6" t="s">
        <v>46</v>
      </c>
      <c r="B51" s="7">
        <v>10101312</v>
      </c>
      <c r="C51" s="8" t="s">
        <v>11</v>
      </c>
      <c r="D51" s="8" t="s">
        <v>12</v>
      </c>
      <c r="E51" s="8">
        <v>0</v>
      </c>
      <c r="F51" s="9">
        <v>0</v>
      </c>
    </row>
    <row r="52" spans="1:6" ht="16.2" thickBot="1" x14ac:dyDescent="0.35">
      <c r="A52" s="10" t="s">
        <v>46</v>
      </c>
      <c r="B52" s="11">
        <v>10101312</v>
      </c>
      <c r="C52" s="12" t="s">
        <v>13</v>
      </c>
      <c r="D52" s="12" t="s">
        <v>14</v>
      </c>
      <c r="E52" s="12">
        <v>0</v>
      </c>
      <c r="F52" s="13">
        <v>0</v>
      </c>
    </row>
    <row r="53" spans="1:6" x14ac:dyDescent="0.3">
      <c r="A53" s="2" t="s">
        <v>47</v>
      </c>
      <c r="B53" s="3">
        <v>10101312</v>
      </c>
      <c r="C53" s="4" t="s">
        <v>8</v>
      </c>
      <c r="D53" s="4" t="s">
        <v>9</v>
      </c>
      <c r="E53" s="4">
        <v>100</v>
      </c>
      <c r="F53" s="5">
        <v>84</v>
      </c>
    </row>
    <row r="54" spans="1:6" x14ac:dyDescent="0.3">
      <c r="A54" s="6" t="s">
        <v>47</v>
      </c>
      <c r="B54" s="7">
        <v>10101312</v>
      </c>
      <c r="C54" s="8" t="s">
        <v>11</v>
      </c>
      <c r="D54" s="8" t="s">
        <v>12</v>
      </c>
      <c r="E54" s="8">
        <v>50</v>
      </c>
      <c r="F54" s="9">
        <v>42</v>
      </c>
    </row>
    <row r="55" spans="1:6" ht="16.2" thickBot="1" x14ac:dyDescent="0.35">
      <c r="A55" s="10" t="s">
        <v>47</v>
      </c>
      <c r="B55" s="11">
        <v>10101312</v>
      </c>
      <c r="C55" s="12" t="s">
        <v>13</v>
      </c>
      <c r="D55" s="12" t="s">
        <v>14</v>
      </c>
      <c r="E55" s="12">
        <v>40</v>
      </c>
      <c r="F55" s="13">
        <v>32</v>
      </c>
    </row>
    <row r="56" spans="1:6" x14ac:dyDescent="0.3">
      <c r="A56" s="2" t="s">
        <v>48</v>
      </c>
      <c r="B56" s="3">
        <v>10101312</v>
      </c>
      <c r="C56" s="4" t="s">
        <v>8</v>
      </c>
      <c r="D56" s="4" t="s">
        <v>9</v>
      </c>
      <c r="E56" s="4">
        <v>100</v>
      </c>
      <c r="F56" s="5">
        <v>84</v>
      </c>
    </row>
    <row r="57" spans="1:6" x14ac:dyDescent="0.3">
      <c r="A57" s="6" t="s">
        <v>48</v>
      </c>
      <c r="B57" s="7">
        <v>10101312</v>
      </c>
      <c r="C57" s="8" t="s">
        <v>11</v>
      </c>
      <c r="D57" s="8" t="s">
        <v>12</v>
      </c>
      <c r="E57" s="8">
        <v>50</v>
      </c>
      <c r="F57" s="9">
        <v>42</v>
      </c>
    </row>
    <row r="58" spans="1:6" ht="16.2" thickBot="1" x14ac:dyDescent="0.35">
      <c r="A58" s="10" t="s">
        <v>48</v>
      </c>
      <c r="B58" s="11">
        <v>10101312</v>
      </c>
      <c r="C58" s="12" t="s">
        <v>13</v>
      </c>
      <c r="D58" s="12" t="s">
        <v>14</v>
      </c>
      <c r="E58" s="12">
        <v>40</v>
      </c>
      <c r="F58" s="13">
        <v>32</v>
      </c>
    </row>
    <row r="59" spans="1:6" x14ac:dyDescent="0.3">
      <c r="A59" s="2" t="s">
        <v>49</v>
      </c>
      <c r="B59" s="3">
        <v>10101312</v>
      </c>
      <c r="C59" s="4" t="s">
        <v>8</v>
      </c>
      <c r="D59" s="4" t="s">
        <v>9</v>
      </c>
      <c r="E59" s="4">
        <v>0</v>
      </c>
      <c r="F59" s="5">
        <v>0</v>
      </c>
    </row>
    <row r="60" spans="1:6" x14ac:dyDescent="0.3">
      <c r="A60" s="6" t="s">
        <v>49</v>
      </c>
      <c r="B60" s="7">
        <v>10101312</v>
      </c>
      <c r="C60" s="8" t="s">
        <v>11</v>
      </c>
      <c r="D60" s="8" t="s">
        <v>12</v>
      </c>
      <c r="E60" s="8">
        <v>0</v>
      </c>
      <c r="F60" s="9">
        <v>0</v>
      </c>
    </row>
    <row r="61" spans="1:6" ht="16.2" thickBot="1" x14ac:dyDescent="0.35">
      <c r="A61" s="10" t="s">
        <v>49</v>
      </c>
      <c r="B61" s="11">
        <v>10101312</v>
      </c>
      <c r="C61" s="12" t="s">
        <v>13</v>
      </c>
      <c r="D61" s="12" t="s">
        <v>14</v>
      </c>
      <c r="E61" s="12">
        <v>0</v>
      </c>
      <c r="F61" s="13">
        <v>0</v>
      </c>
    </row>
    <row r="62" spans="1:6" x14ac:dyDescent="0.3">
      <c r="A62" s="2" t="s">
        <v>50</v>
      </c>
      <c r="B62" s="3">
        <v>10101312</v>
      </c>
      <c r="C62" s="4" t="s">
        <v>8</v>
      </c>
      <c r="D62" s="4" t="s">
        <v>9</v>
      </c>
      <c r="E62" s="4">
        <v>50</v>
      </c>
      <c r="F62" s="5">
        <v>42</v>
      </c>
    </row>
    <row r="63" spans="1:6" x14ac:dyDescent="0.3">
      <c r="A63" s="6" t="s">
        <v>50</v>
      </c>
      <c r="B63" s="7">
        <v>10101312</v>
      </c>
      <c r="C63" s="8" t="s">
        <v>11</v>
      </c>
      <c r="D63" s="8" t="s">
        <v>12</v>
      </c>
      <c r="E63" s="8">
        <v>30</v>
      </c>
      <c r="F63" s="9">
        <v>22</v>
      </c>
    </row>
    <row r="64" spans="1:6" ht="16.2" thickBot="1" x14ac:dyDescent="0.35">
      <c r="A64" s="10" t="s">
        <v>50</v>
      </c>
      <c r="B64" s="11">
        <v>10101312</v>
      </c>
      <c r="C64" s="12" t="s">
        <v>13</v>
      </c>
      <c r="D64" s="12" t="s">
        <v>14</v>
      </c>
      <c r="E64" s="12">
        <v>0</v>
      </c>
      <c r="F64" s="13">
        <v>0</v>
      </c>
    </row>
    <row r="65" spans="1:6" x14ac:dyDescent="0.3">
      <c r="A65" s="2" t="s">
        <v>51</v>
      </c>
      <c r="B65" s="3">
        <v>10101312</v>
      </c>
      <c r="C65" s="4" t="s">
        <v>8</v>
      </c>
      <c r="D65" s="4" t="s">
        <v>9</v>
      </c>
      <c r="E65" s="4">
        <v>220</v>
      </c>
      <c r="F65" s="5">
        <v>200</v>
      </c>
    </row>
    <row r="66" spans="1:6" x14ac:dyDescent="0.3">
      <c r="A66" s="6" t="s">
        <v>51</v>
      </c>
      <c r="B66" s="7">
        <v>10101312</v>
      </c>
      <c r="C66" s="8" t="s">
        <v>11</v>
      </c>
      <c r="D66" s="8" t="s">
        <v>12</v>
      </c>
      <c r="E66" s="8">
        <v>50</v>
      </c>
      <c r="F66" s="9">
        <v>45</v>
      </c>
    </row>
    <row r="67" spans="1:6" ht="16.2" thickBot="1" x14ac:dyDescent="0.35">
      <c r="A67" s="10" t="s">
        <v>51</v>
      </c>
      <c r="B67" s="11">
        <v>10101312</v>
      </c>
      <c r="C67" s="12" t="s">
        <v>13</v>
      </c>
      <c r="D67" s="12" t="s">
        <v>14</v>
      </c>
      <c r="E67" s="12">
        <v>50</v>
      </c>
      <c r="F67" s="13">
        <v>40</v>
      </c>
    </row>
    <row r="68" spans="1:6" x14ac:dyDescent="0.3">
      <c r="A68" s="2" t="s">
        <v>52</v>
      </c>
      <c r="B68" s="3">
        <v>10101312</v>
      </c>
      <c r="C68" s="4" t="s">
        <v>8</v>
      </c>
      <c r="D68" s="4" t="s">
        <v>9</v>
      </c>
      <c r="E68" s="4">
        <v>0</v>
      </c>
      <c r="F68" s="5">
        <v>0</v>
      </c>
    </row>
    <row r="69" spans="1:6" x14ac:dyDescent="0.3">
      <c r="A69" s="6" t="str">
        <f t="shared" ref="A69:A70" si="0">A68</f>
        <v>PY245-0224</v>
      </c>
      <c r="B69" s="7">
        <v>10101312</v>
      </c>
      <c r="C69" s="8" t="s">
        <v>11</v>
      </c>
      <c r="D69" s="8" t="s">
        <v>12</v>
      </c>
      <c r="E69" s="8">
        <v>0</v>
      </c>
      <c r="F69" s="9">
        <v>0</v>
      </c>
    </row>
    <row r="70" spans="1:6" ht="16.2" thickBot="1" x14ac:dyDescent="0.35">
      <c r="A70" s="10" t="str">
        <f t="shared" si="0"/>
        <v>PY245-0224</v>
      </c>
      <c r="B70" s="11">
        <v>10101312</v>
      </c>
      <c r="C70" s="12" t="s">
        <v>13</v>
      </c>
      <c r="D70" s="12" t="s">
        <v>14</v>
      </c>
      <c r="E70" s="12">
        <v>0</v>
      </c>
      <c r="F70" s="13">
        <v>0</v>
      </c>
    </row>
    <row r="71" spans="1:6" x14ac:dyDescent="0.3">
      <c r="A71" s="2" t="s">
        <v>53</v>
      </c>
      <c r="B71" s="3">
        <v>10101312</v>
      </c>
      <c r="C71" s="4" t="s">
        <v>8</v>
      </c>
      <c r="D71" s="4" t="s">
        <v>9</v>
      </c>
      <c r="E71" s="4">
        <v>0</v>
      </c>
      <c r="F71" s="5">
        <v>0</v>
      </c>
    </row>
    <row r="72" spans="1:6" x14ac:dyDescent="0.3">
      <c r="A72" s="6" t="str">
        <f t="shared" ref="A72:A73" si="1">A71</f>
        <v>PY245-0225</v>
      </c>
      <c r="B72" s="7">
        <v>10101312</v>
      </c>
      <c r="C72" s="8" t="s">
        <v>11</v>
      </c>
      <c r="D72" s="8" t="s">
        <v>12</v>
      </c>
      <c r="E72" s="8">
        <v>0</v>
      </c>
      <c r="F72" s="9">
        <v>0</v>
      </c>
    </row>
    <row r="73" spans="1:6" ht="16.2" thickBot="1" x14ac:dyDescent="0.35">
      <c r="A73" s="10" t="str">
        <f t="shared" si="1"/>
        <v>PY245-0225</v>
      </c>
      <c r="B73" s="11">
        <v>10101312</v>
      </c>
      <c r="C73" s="12" t="s">
        <v>13</v>
      </c>
      <c r="D73" s="12" t="s">
        <v>14</v>
      </c>
      <c r="E73" s="12">
        <v>0</v>
      </c>
      <c r="F73" s="13">
        <v>0</v>
      </c>
    </row>
    <row r="74" spans="1:6" x14ac:dyDescent="0.3">
      <c r="A74" s="2" t="s">
        <v>54</v>
      </c>
      <c r="B74" s="3">
        <v>10101312</v>
      </c>
      <c r="C74" s="4" t="s">
        <v>8</v>
      </c>
      <c r="D74" s="4" t="s">
        <v>9</v>
      </c>
      <c r="E74" s="4">
        <v>0</v>
      </c>
      <c r="F74" s="5">
        <v>0</v>
      </c>
    </row>
    <row r="75" spans="1:6" x14ac:dyDescent="0.3">
      <c r="A75" s="6" t="str">
        <f t="shared" ref="A75:A76" si="2">A74</f>
        <v>PY245-0229</v>
      </c>
      <c r="B75" s="7">
        <v>10101312</v>
      </c>
      <c r="C75" s="8" t="s">
        <v>11</v>
      </c>
      <c r="D75" s="8" t="s">
        <v>12</v>
      </c>
      <c r="E75" s="8">
        <v>0</v>
      </c>
      <c r="F75" s="9">
        <v>0</v>
      </c>
    </row>
    <row r="76" spans="1:6" ht="16.2" thickBot="1" x14ac:dyDescent="0.35">
      <c r="A76" s="10" t="str">
        <f t="shared" si="2"/>
        <v>PY245-0229</v>
      </c>
      <c r="B76" s="11">
        <v>10101312</v>
      </c>
      <c r="C76" s="12" t="s">
        <v>13</v>
      </c>
      <c r="D76" s="12" t="s">
        <v>14</v>
      </c>
      <c r="E76" s="12">
        <v>0</v>
      </c>
      <c r="F76" s="13">
        <v>0</v>
      </c>
    </row>
    <row r="77" spans="1:6" x14ac:dyDescent="0.3">
      <c r="A77" s="2" t="s">
        <v>55</v>
      </c>
      <c r="B77" s="3">
        <v>10101312</v>
      </c>
      <c r="C77" s="4" t="s">
        <v>8</v>
      </c>
      <c r="D77" s="4" t="s">
        <v>9</v>
      </c>
      <c r="E77" s="4">
        <v>0</v>
      </c>
      <c r="F77" s="5">
        <v>0</v>
      </c>
    </row>
    <row r="78" spans="1:6" x14ac:dyDescent="0.3">
      <c r="A78" s="6" t="str">
        <f t="shared" ref="A78:A79" si="3">A77</f>
        <v>PY245-0230</v>
      </c>
      <c r="B78" s="7">
        <v>10101312</v>
      </c>
      <c r="C78" s="8" t="s">
        <v>11</v>
      </c>
      <c r="D78" s="8" t="s">
        <v>12</v>
      </c>
      <c r="E78" s="8">
        <v>0</v>
      </c>
      <c r="F78" s="9">
        <v>0</v>
      </c>
    </row>
    <row r="79" spans="1:6" ht="16.2" thickBot="1" x14ac:dyDescent="0.35">
      <c r="A79" s="10" t="str">
        <f t="shared" si="3"/>
        <v>PY245-0230</v>
      </c>
      <c r="B79" s="11">
        <v>10101312</v>
      </c>
      <c r="C79" s="12" t="s">
        <v>13</v>
      </c>
      <c r="D79" s="12" t="s">
        <v>14</v>
      </c>
      <c r="E79" s="12">
        <v>0</v>
      </c>
      <c r="F79" s="13">
        <v>0</v>
      </c>
    </row>
    <row r="80" spans="1:6" x14ac:dyDescent="0.3">
      <c r="A80" s="2" t="s">
        <v>56</v>
      </c>
      <c r="B80" s="3">
        <v>10101312</v>
      </c>
      <c r="C80" s="4" t="s">
        <v>8</v>
      </c>
      <c r="D80" s="4" t="s">
        <v>9</v>
      </c>
      <c r="E80" s="4">
        <v>80</v>
      </c>
      <c r="F80" s="5">
        <v>60</v>
      </c>
    </row>
    <row r="81" spans="1:6" x14ac:dyDescent="0.3">
      <c r="A81" s="6" t="str">
        <f t="shared" ref="A81:A82" si="4">A80</f>
        <v>PY245-0236</v>
      </c>
      <c r="B81" s="7">
        <v>10101312</v>
      </c>
      <c r="C81" s="8" t="s">
        <v>11</v>
      </c>
      <c r="D81" s="8" t="s">
        <v>12</v>
      </c>
      <c r="E81" s="8">
        <v>0</v>
      </c>
      <c r="F81" s="9">
        <v>0</v>
      </c>
    </row>
    <row r="82" spans="1:6" ht="16.2" thickBot="1" x14ac:dyDescent="0.35">
      <c r="A82" s="10" t="str">
        <f t="shared" si="4"/>
        <v>PY245-0236</v>
      </c>
      <c r="B82" s="11">
        <v>10101312</v>
      </c>
      <c r="C82" s="12" t="s">
        <v>13</v>
      </c>
      <c r="D82" s="12" t="s">
        <v>14</v>
      </c>
      <c r="E82" s="12">
        <v>0</v>
      </c>
      <c r="F82" s="13">
        <v>0</v>
      </c>
    </row>
    <row r="83" spans="1:6" x14ac:dyDescent="0.3">
      <c r="A83" s="2" t="s">
        <v>57</v>
      </c>
      <c r="B83" s="3">
        <v>10101312</v>
      </c>
      <c r="C83" s="4" t="s">
        <v>8</v>
      </c>
      <c r="D83" s="4" t="s">
        <v>9</v>
      </c>
      <c r="E83" s="4">
        <v>0</v>
      </c>
      <c r="F83" s="5">
        <v>0</v>
      </c>
    </row>
    <row r="84" spans="1:6" x14ac:dyDescent="0.3">
      <c r="A84" s="6" t="str">
        <f t="shared" ref="A84:A85" si="5">A83</f>
        <v>PY255-0051</v>
      </c>
      <c r="B84" s="7">
        <v>10101312</v>
      </c>
      <c r="C84" s="8" t="s">
        <v>11</v>
      </c>
      <c r="D84" s="8" t="s">
        <v>12</v>
      </c>
      <c r="E84" s="8">
        <v>0</v>
      </c>
      <c r="F84" s="9">
        <v>0</v>
      </c>
    </row>
    <row r="85" spans="1:6" ht="16.2" thickBot="1" x14ac:dyDescent="0.35">
      <c r="A85" s="10" t="str">
        <f t="shared" si="5"/>
        <v>PY255-0051</v>
      </c>
      <c r="B85" s="11">
        <v>10101312</v>
      </c>
      <c r="C85" s="12" t="s">
        <v>13</v>
      </c>
      <c r="D85" s="12" t="s">
        <v>14</v>
      </c>
      <c r="E85" s="12">
        <v>0</v>
      </c>
      <c r="F85" s="13">
        <v>0</v>
      </c>
    </row>
    <row r="86" spans="1:6" x14ac:dyDescent="0.3">
      <c r="A86" s="2" t="s">
        <v>58</v>
      </c>
      <c r="B86" s="3">
        <v>10101312</v>
      </c>
      <c r="C86" s="4" t="s">
        <v>8</v>
      </c>
      <c r="D86" s="4" t="s">
        <v>9</v>
      </c>
      <c r="E86" s="4">
        <v>0</v>
      </c>
      <c r="F86" s="5">
        <v>0</v>
      </c>
    </row>
    <row r="87" spans="1:6" x14ac:dyDescent="0.3">
      <c r="A87" s="6" t="str">
        <f t="shared" ref="A87:A88" si="6">A86</f>
        <v>PY255-0052</v>
      </c>
      <c r="B87" s="7">
        <v>10101312</v>
      </c>
      <c r="C87" s="8" t="s">
        <v>11</v>
      </c>
      <c r="D87" s="8" t="s">
        <v>12</v>
      </c>
      <c r="E87" s="8">
        <v>0</v>
      </c>
      <c r="F87" s="9">
        <v>0</v>
      </c>
    </row>
    <row r="88" spans="1:6" ht="16.2" thickBot="1" x14ac:dyDescent="0.35">
      <c r="A88" s="10" t="str">
        <f t="shared" si="6"/>
        <v>PY255-0052</v>
      </c>
      <c r="B88" s="11">
        <v>10101312</v>
      </c>
      <c r="C88" s="12" t="s">
        <v>13</v>
      </c>
      <c r="D88" s="12" t="s">
        <v>14</v>
      </c>
      <c r="E88" s="12">
        <v>0</v>
      </c>
      <c r="F88" s="13">
        <v>0</v>
      </c>
    </row>
    <row r="89" spans="1:6" x14ac:dyDescent="0.3">
      <c r="A89" s="2" t="s">
        <v>59</v>
      </c>
      <c r="B89" s="3">
        <v>10101312</v>
      </c>
      <c r="C89" s="4" t="s">
        <v>8</v>
      </c>
      <c r="D89" s="4" t="s">
        <v>9</v>
      </c>
      <c r="E89" s="4">
        <v>128</v>
      </c>
      <c r="F89" s="5">
        <v>96</v>
      </c>
    </row>
    <row r="90" spans="1:6" x14ac:dyDescent="0.3">
      <c r="A90" s="6" t="str">
        <f t="shared" ref="A90:A91" si="7">A89</f>
        <v>PY255-0108</v>
      </c>
      <c r="B90" s="7">
        <v>10101312</v>
      </c>
      <c r="C90" s="8" t="s">
        <v>11</v>
      </c>
      <c r="D90" s="8" t="s">
        <v>12</v>
      </c>
      <c r="E90" s="8">
        <v>32</v>
      </c>
      <c r="F90" s="9">
        <v>24</v>
      </c>
    </row>
    <row r="91" spans="1:6" ht="16.2" thickBot="1" x14ac:dyDescent="0.35">
      <c r="A91" s="10" t="str">
        <f t="shared" si="7"/>
        <v>PY255-0108</v>
      </c>
      <c r="B91" s="11">
        <v>10101312</v>
      </c>
      <c r="C91" s="12" t="s">
        <v>13</v>
      </c>
      <c r="D91" s="12" t="s">
        <v>14</v>
      </c>
      <c r="E91" s="12">
        <v>0</v>
      </c>
      <c r="F91" s="13">
        <v>0</v>
      </c>
    </row>
    <row r="92" spans="1:6" x14ac:dyDescent="0.3">
      <c r="A92" s="2" t="s">
        <v>60</v>
      </c>
      <c r="B92" s="3">
        <v>10101312</v>
      </c>
      <c r="C92" s="4" t="s">
        <v>8</v>
      </c>
      <c r="D92" s="4" t="s">
        <v>9</v>
      </c>
      <c r="E92" s="4">
        <v>96</v>
      </c>
      <c r="F92" s="5">
        <v>72</v>
      </c>
    </row>
    <row r="93" spans="1:6" x14ac:dyDescent="0.3">
      <c r="A93" s="6" t="str">
        <f t="shared" ref="A93:A94" si="8">A92</f>
        <v>PY255-0114</v>
      </c>
      <c r="B93" s="7">
        <v>10101312</v>
      </c>
      <c r="C93" s="8" t="s">
        <v>11</v>
      </c>
      <c r="D93" s="8" t="s">
        <v>12</v>
      </c>
      <c r="E93" s="8">
        <v>8</v>
      </c>
      <c r="F93" s="9">
        <v>6</v>
      </c>
    </row>
    <row r="94" spans="1:6" ht="16.2" thickBot="1" x14ac:dyDescent="0.35">
      <c r="A94" s="10" t="str">
        <f t="shared" si="8"/>
        <v>PY255-0114</v>
      </c>
      <c r="B94" s="11">
        <v>10101312</v>
      </c>
      <c r="C94" s="12" t="s">
        <v>13</v>
      </c>
      <c r="D94" s="12" t="s">
        <v>14</v>
      </c>
      <c r="E94" s="12">
        <v>0</v>
      </c>
      <c r="F94" s="13">
        <v>0</v>
      </c>
    </row>
    <row r="95" spans="1:6" x14ac:dyDescent="0.3">
      <c r="A95" s="2" t="s">
        <v>61</v>
      </c>
      <c r="B95" s="3">
        <v>10101312</v>
      </c>
      <c r="C95" s="4" t="s">
        <v>8</v>
      </c>
      <c r="D95" s="4" t="s">
        <v>9</v>
      </c>
      <c r="E95" s="4">
        <v>32</v>
      </c>
      <c r="F95" s="5">
        <v>24</v>
      </c>
    </row>
    <row r="96" spans="1:6" x14ac:dyDescent="0.3">
      <c r="A96" s="6" t="str">
        <f t="shared" ref="A96:A97" si="9">A95</f>
        <v>PY255-0115</v>
      </c>
      <c r="B96" s="7">
        <v>10101312</v>
      </c>
      <c r="C96" s="8" t="s">
        <v>11</v>
      </c>
      <c r="D96" s="8" t="s">
        <v>12</v>
      </c>
      <c r="E96" s="8">
        <v>8</v>
      </c>
      <c r="F96" s="9">
        <v>6</v>
      </c>
    </row>
    <row r="97" spans="1:6" ht="16.2" thickBot="1" x14ac:dyDescent="0.35">
      <c r="A97" s="10" t="str">
        <f t="shared" si="9"/>
        <v>PY255-0115</v>
      </c>
      <c r="B97" s="11">
        <v>10101312</v>
      </c>
      <c r="C97" s="12" t="s">
        <v>13</v>
      </c>
      <c r="D97" s="12" t="s">
        <v>14</v>
      </c>
      <c r="E97" s="12">
        <v>0</v>
      </c>
      <c r="F97" s="13">
        <v>0</v>
      </c>
    </row>
    <row r="98" spans="1:6" x14ac:dyDescent="0.3">
      <c r="A98" s="2" t="s">
        <v>62</v>
      </c>
      <c r="B98" s="3">
        <v>10101312</v>
      </c>
      <c r="C98" s="4" t="s">
        <v>8</v>
      </c>
      <c r="D98" s="4" t="s">
        <v>9</v>
      </c>
      <c r="E98" s="4">
        <v>208</v>
      </c>
      <c r="F98" s="5">
        <v>156</v>
      </c>
    </row>
    <row r="99" spans="1:6" x14ac:dyDescent="0.3">
      <c r="A99" s="6" t="str">
        <f t="shared" ref="A99:A100" si="10">A98</f>
        <v>PY255-0128</v>
      </c>
      <c r="B99" s="7">
        <v>10101312</v>
      </c>
      <c r="C99" s="8" t="s">
        <v>11</v>
      </c>
      <c r="D99" s="8" t="s">
        <v>12</v>
      </c>
      <c r="E99" s="8">
        <v>0</v>
      </c>
      <c r="F99" s="9">
        <v>0</v>
      </c>
    </row>
    <row r="100" spans="1:6" ht="16.2" thickBot="1" x14ac:dyDescent="0.35">
      <c r="A100" s="10" t="str">
        <f t="shared" si="10"/>
        <v>PY255-0128</v>
      </c>
      <c r="B100" s="11">
        <v>10101312</v>
      </c>
      <c r="C100" s="12" t="s">
        <v>13</v>
      </c>
      <c r="D100" s="12" t="s">
        <v>14</v>
      </c>
      <c r="E100" s="12">
        <v>0</v>
      </c>
      <c r="F100" s="13">
        <v>0</v>
      </c>
    </row>
    <row r="101" spans="1:6" x14ac:dyDescent="0.3">
      <c r="A101" s="2" t="s">
        <v>63</v>
      </c>
      <c r="B101" s="3">
        <v>10101312</v>
      </c>
      <c r="C101" s="4" t="s">
        <v>8</v>
      </c>
      <c r="D101" s="4" t="s">
        <v>9</v>
      </c>
      <c r="E101" s="4">
        <v>416</v>
      </c>
      <c r="F101" s="5">
        <v>312</v>
      </c>
    </row>
    <row r="102" spans="1:6" x14ac:dyDescent="0.3">
      <c r="A102" s="6" t="str">
        <f t="shared" ref="A102:A103" si="11">A101</f>
        <v>PY255-0129</v>
      </c>
      <c r="B102" s="7">
        <v>10101312</v>
      </c>
      <c r="C102" s="8" t="s">
        <v>11</v>
      </c>
      <c r="D102" s="8" t="s">
        <v>12</v>
      </c>
      <c r="E102" s="8">
        <v>0</v>
      </c>
      <c r="F102" s="9">
        <v>0</v>
      </c>
    </row>
    <row r="103" spans="1:6" ht="16.2" thickBot="1" x14ac:dyDescent="0.35">
      <c r="A103" s="10" t="str">
        <f t="shared" si="11"/>
        <v>PY255-0129</v>
      </c>
      <c r="B103" s="11">
        <v>10101312</v>
      </c>
      <c r="C103" s="12" t="s">
        <v>13</v>
      </c>
      <c r="D103" s="12" t="s">
        <v>14</v>
      </c>
      <c r="E103" s="12">
        <v>0</v>
      </c>
      <c r="F103" s="13">
        <v>0</v>
      </c>
    </row>
    <row r="104" spans="1:6" x14ac:dyDescent="0.3">
      <c r="A104" s="2" t="s">
        <v>64</v>
      </c>
      <c r="B104" s="3">
        <v>10101312</v>
      </c>
      <c r="C104" s="4" t="s">
        <v>8</v>
      </c>
      <c r="D104" s="4" t="s">
        <v>9</v>
      </c>
      <c r="E104" s="4">
        <f>43*8</f>
        <v>344</v>
      </c>
      <c r="F104" s="5">
        <f>43*6</f>
        <v>258</v>
      </c>
    </row>
    <row r="105" spans="1:6" x14ac:dyDescent="0.3">
      <c r="A105" s="6" t="str">
        <f t="shared" ref="A105:A106" si="12">A104</f>
        <v>PY255-0133</v>
      </c>
      <c r="B105" s="7">
        <v>10101312</v>
      </c>
      <c r="C105" s="8" t="s">
        <v>11</v>
      </c>
      <c r="D105" s="8" t="s">
        <v>12</v>
      </c>
      <c r="E105" s="8">
        <v>0</v>
      </c>
      <c r="F105" s="9">
        <v>0</v>
      </c>
    </row>
    <row r="106" spans="1:6" ht="16.2" thickBot="1" x14ac:dyDescent="0.35">
      <c r="A106" s="10" t="str">
        <f t="shared" si="12"/>
        <v>PY255-0133</v>
      </c>
      <c r="B106" s="11">
        <v>10101312</v>
      </c>
      <c r="C106" s="12" t="s">
        <v>13</v>
      </c>
      <c r="D106" s="12" t="s">
        <v>14</v>
      </c>
      <c r="E106" s="12">
        <v>0</v>
      </c>
      <c r="F106" s="13">
        <v>0</v>
      </c>
    </row>
    <row r="107" spans="1:6" x14ac:dyDescent="0.3">
      <c r="A107" s="2" t="s">
        <v>65</v>
      </c>
      <c r="B107" s="3">
        <v>10101312</v>
      </c>
      <c r="C107" s="4" t="s">
        <v>8</v>
      </c>
      <c r="D107" s="4" t="s">
        <v>9</v>
      </c>
      <c r="E107" s="4">
        <f>43*8</f>
        <v>344</v>
      </c>
      <c r="F107" s="5">
        <f>43*6</f>
        <v>258</v>
      </c>
    </row>
    <row r="108" spans="1:6" x14ac:dyDescent="0.3">
      <c r="A108" s="6" t="str">
        <f t="shared" ref="A108:A109" si="13">A107</f>
        <v>PY255-0134</v>
      </c>
      <c r="B108" s="7">
        <v>10101312</v>
      </c>
      <c r="C108" s="8" t="s">
        <v>11</v>
      </c>
      <c r="D108" s="8" t="s">
        <v>12</v>
      </c>
      <c r="E108" s="8">
        <v>0</v>
      </c>
      <c r="F108" s="9">
        <v>0</v>
      </c>
    </row>
    <row r="109" spans="1:6" ht="16.2" thickBot="1" x14ac:dyDescent="0.35">
      <c r="A109" s="10" t="str">
        <f t="shared" si="13"/>
        <v>PY255-0134</v>
      </c>
      <c r="B109" s="11">
        <v>10101312</v>
      </c>
      <c r="C109" s="12" t="s">
        <v>13</v>
      </c>
      <c r="D109" s="12" t="s">
        <v>14</v>
      </c>
      <c r="E109" s="12">
        <v>0</v>
      </c>
      <c r="F109" s="13">
        <v>0</v>
      </c>
    </row>
    <row r="110" spans="1:6" x14ac:dyDescent="0.3">
      <c r="A110" s="2" t="s">
        <v>66</v>
      </c>
      <c r="B110" s="3">
        <v>10101312</v>
      </c>
      <c r="C110" s="4" t="s">
        <v>8</v>
      </c>
      <c r="D110" s="4" t="s">
        <v>9</v>
      </c>
      <c r="E110" s="4">
        <f>83*8</f>
        <v>664</v>
      </c>
      <c r="F110" s="5">
        <f>83*6</f>
        <v>498</v>
      </c>
    </row>
    <row r="111" spans="1:6" x14ac:dyDescent="0.3">
      <c r="A111" s="6" t="str">
        <f t="shared" ref="A111:A112" si="14">A110</f>
        <v>PY255-0139</v>
      </c>
      <c r="B111" s="7">
        <v>10101312</v>
      </c>
      <c r="C111" s="8" t="s">
        <v>11</v>
      </c>
      <c r="D111" s="8" t="s">
        <v>12</v>
      </c>
      <c r="E111" s="8">
        <v>0</v>
      </c>
      <c r="F111" s="9">
        <v>0</v>
      </c>
    </row>
    <row r="112" spans="1:6" ht="16.2" thickBot="1" x14ac:dyDescent="0.35">
      <c r="A112" s="10" t="str">
        <f t="shared" si="14"/>
        <v>PY255-0139</v>
      </c>
      <c r="B112" s="11">
        <v>10101312</v>
      </c>
      <c r="C112" s="12" t="s">
        <v>13</v>
      </c>
      <c r="D112" s="12" t="s">
        <v>14</v>
      </c>
      <c r="E112" s="12">
        <v>0</v>
      </c>
      <c r="F112" s="13">
        <v>0</v>
      </c>
    </row>
    <row r="113" spans="1:6" x14ac:dyDescent="0.3">
      <c r="A113" s="2" t="s">
        <v>67</v>
      </c>
      <c r="B113" s="3">
        <v>10101312</v>
      </c>
      <c r="C113" s="4" t="s">
        <v>8</v>
      </c>
      <c r="D113" s="4" t="s">
        <v>9</v>
      </c>
      <c r="E113" s="4">
        <f>45*8</f>
        <v>360</v>
      </c>
      <c r="F113" s="5">
        <f>45*6</f>
        <v>270</v>
      </c>
    </row>
    <row r="114" spans="1:6" x14ac:dyDescent="0.3">
      <c r="A114" s="6" t="str">
        <f t="shared" ref="A114:A115" si="15">A113</f>
        <v>PY255-0140</v>
      </c>
      <c r="B114" s="7">
        <v>10101312</v>
      </c>
      <c r="C114" s="8" t="s">
        <v>11</v>
      </c>
      <c r="D114" s="8" t="s">
        <v>12</v>
      </c>
      <c r="E114" s="8">
        <v>0</v>
      </c>
      <c r="F114" s="9">
        <v>0</v>
      </c>
    </row>
    <row r="115" spans="1:6" ht="16.2" thickBot="1" x14ac:dyDescent="0.35">
      <c r="A115" s="10" t="str">
        <f t="shared" si="15"/>
        <v>PY255-0140</v>
      </c>
      <c r="B115" s="11">
        <v>10101312</v>
      </c>
      <c r="C115" s="12" t="s">
        <v>13</v>
      </c>
      <c r="D115" s="12" t="s">
        <v>14</v>
      </c>
      <c r="E115" s="12">
        <v>0</v>
      </c>
      <c r="F115" s="13">
        <v>0</v>
      </c>
    </row>
    <row r="116" spans="1:6" x14ac:dyDescent="0.3">
      <c r="A116" s="2" t="s">
        <v>68</v>
      </c>
      <c r="B116" s="3">
        <v>10101312</v>
      </c>
      <c r="C116" s="4" t="s">
        <v>8</v>
      </c>
      <c r="D116" s="4" t="s">
        <v>9</v>
      </c>
      <c r="E116" s="4">
        <f>26*8</f>
        <v>208</v>
      </c>
      <c r="F116" s="5">
        <f>26*6</f>
        <v>156</v>
      </c>
    </row>
    <row r="117" spans="1:6" x14ac:dyDescent="0.3">
      <c r="A117" s="6" t="str">
        <f t="shared" ref="A117:A118" si="16">A116</f>
        <v>PY255-0145</v>
      </c>
      <c r="B117" s="7">
        <v>10101312</v>
      </c>
      <c r="C117" s="8" t="s">
        <v>11</v>
      </c>
      <c r="D117" s="8" t="s">
        <v>12</v>
      </c>
      <c r="E117" s="8">
        <v>0</v>
      </c>
      <c r="F117" s="9">
        <v>0</v>
      </c>
    </row>
    <row r="118" spans="1:6" ht="16.2" thickBot="1" x14ac:dyDescent="0.35">
      <c r="A118" s="10" t="str">
        <f t="shared" si="16"/>
        <v>PY255-0145</v>
      </c>
      <c r="B118" s="11">
        <v>10101312</v>
      </c>
      <c r="C118" s="12" t="s">
        <v>13</v>
      </c>
      <c r="D118" s="12" t="s">
        <v>14</v>
      </c>
      <c r="E118" s="12">
        <v>0</v>
      </c>
      <c r="F118" s="13">
        <v>0</v>
      </c>
    </row>
    <row r="119" spans="1:6" x14ac:dyDescent="0.3">
      <c r="A119" s="2" t="s">
        <v>69</v>
      </c>
      <c r="B119" s="3">
        <v>10101312</v>
      </c>
      <c r="C119" s="4" t="s">
        <v>8</v>
      </c>
      <c r="D119" s="4" t="s">
        <v>9</v>
      </c>
      <c r="E119" s="4">
        <f>26*8</f>
        <v>208</v>
      </c>
      <c r="F119" s="5">
        <f>26*6</f>
        <v>156</v>
      </c>
    </row>
    <row r="120" spans="1:6" x14ac:dyDescent="0.3">
      <c r="A120" s="6" t="str">
        <f t="shared" ref="A120:A121" si="17">A119</f>
        <v>PY255-0146</v>
      </c>
      <c r="B120" s="7">
        <v>10101312</v>
      </c>
      <c r="C120" s="8" t="s">
        <v>11</v>
      </c>
      <c r="D120" s="8" t="s">
        <v>12</v>
      </c>
      <c r="E120" s="8">
        <v>0</v>
      </c>
      <c r="F120" s="9">
        <v>0</v>
      </c>
    </row>
    <row r="121" spans="1:6" ht="16.2" thickBot="1" x14ac:dyDescent="0.35">
      <c r="A121" s="10" t="str">
        <f t="shared" si="17"/>
        <v>PY255-0146</v>
      </c>
      <c r="B121" s="11">
        <v>10101312</v>
      </c>
      <c r="C121" s="12" t="s">
        <v>13</v>
      </c>
      <c r="D121" s="12" t="s">
        <v>14</v>
      </c>
      <c r="E121" s="12">
        <v>0</v>
      </c>
      <c r="F121" s="13">
        <v>0</v>
      </c>
    </row>
    <row r="122" spans="1:6" x14ac:dyDescent="0.3">
      <c r="A122" s="2" t="s">
        <v>70</v>
      </c>
      <c r="B122" s="3">
        <v>10101312</v>
      </c>
      <c r="C122" s="4" t="s">
        <v>8</v>
      </c>
      <c r="D122" s="4" t="s">
        <v>9</v>
      </c>
      <c r="E122" s="4">
        <f>43*8</f>
        <v>344</v>
      </c>
      <c r="F122" s="5">
        <f>43*6</f>
        <v>258</v>
      </c>
    </row>
    <row r="123" spans="1:6" x14ac:dyDescent="0.3">
      <c r="A123" s="6" t="s">
        <v>70</v>
      </c>
      <c r="B123" s="7">
        <v>10101312</v>
      </c>
      <c r="C123" s="8" t="s">
        <v>11</v>
      </c>
      <c r="D123" s="8" t="s">
        <v>12</v>
      </c>
      <c r="E123" s="8">
        <v>0</v>
      </c>
      <c r="F123" s="9">
        <v>0</v>
      </c>
    </row>
    <row r="124" spans="1:6" ht="16.2" thickBot="1" x14ac:dyDescent="0.35">
      <c r="A124" s="10" t="s">
        <v>70</v>
      </c>
      <c r="B124" s="11">
        <v>10101312</v>
      </c>
      <c r="C124" s="12" t="s">
        <v>13</v>
      </c>
      <c r="D124" s="12" t="s">
        <v>14</v>
      </c>
      <c r="E124" s="12">
        <v>0</v>
      </c>
      <c r="F124" s="13">
        <v>0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A1:F1 C2:D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selection activeCell="C14" sqref="C14:C15"/>
    </sheetView>
  </sheetViews>
  <sheetFormatPr defaultRowHeight="16.2" x14ac:dyDescent="0.3"/>
  <sheetData>
    <row r="1" spans="1:3" x14ac:dyDescent="0.3">
      <c r="A1" t="s">
        <v>15</v>
      </c>
    </row>
    <row r="3" spans="1:3" x14ac:dyDescent="0.3">
      <c r="A3" t="s">
        <v>16</v>
      </c>
    </row>
    <row r="4" spans="1:3" x14ac:dyDescent="0.3">
      <c r="A4" t="s">
        <v>17</v>
      </c>
    </row>
    <row r="5" spans="1:3" x14ac:dyDescent="0.3">
      <c r="A5" t="s">
        <v>18</v>
      </c>
    </row>
    <row r="6" spans="1:3" x14ac:dyDescent="0.3">
      <c r="A6" t="s">
        <v>19</v>
      </c>
    </row>
    <row r="7" spans="1:3" x14ac:dyDescent="0.3">
      <c r="A7" t="s">
        <v>20</v>
      </c>
    </row>
    <row r="9" spans="1:3" x14ac:dyDescent="0.3">
      <c r="A9" t="s">
        <v>21</v>
      </c>
      <c r="B9" t="s">
        <v>22</v>
      </c>
      <c r="C9" t="s">
        <v>23</v>
      </c>
    </row>
    <row r="10" spans="1:3" x14ac:dyDescent="0.3">
      <c r="A10" t="s">
        <v>0</v>
      </c>
      <c r="B10" t="s">
        <v>24</v>
      </c>
      <c r="C10" t="s">
        <v>6</v>
      </c>
    </row>
    <row r="11" spans="1:3" x14ac:dyDescent="0.3">
      <c r="A11" t="s">
        <v>1</v>
      </c>
      <c r="B11" t="s">
        <v>25</v>
      </c>
      <c r="C11" t="s">
        <v>7</v>
      </c>
    </row>
    <row r="12" spans="1:3" x14ac:dyDescent="0.3">
      <c r="A12" t="s">
        <v>2</v>
      </c>
      <c r="B12" t="s">
        <v>26</v>
      </c>
      <c r="C12" t="s">
        <v>8</v>
      </c>
    </row>
    <row r="13" spans="1:3" x14ac:dyDescent="0.3">
      <c r="A13" t="s">
        <v>3</v>
      </c>
      <c r="B13" t="s">
        <v>27</v>
      </c>
      <c r="C13" t="s">
        <v>9</v>
      </c>
    </row>
    <row r="14" spans="1:3" x14ac:dyDescent="0.3">
      <c r="A14" t="s">
        <v>4</v>
      </c>
      <c r="B14" t="s">
        <v>28</v>
      </c>
      <c r="C14" t="s">
        <v>10</v>
      </c>
    </row>
    <row r="15" spans="1:3" x14ac:dyDescent="0.3">
      <c r="A15" t="s">
        <v>5</v>
      </c>
      <c r="B15" t="s">
        <v>29</v>
      </c>
      <c r="C15" t="s">
        <v>10</v>
      </c>
    </row>
  </sheetData>
  <phoneticPr fontId="2" type="noConversion"/>
  <pageMargins left="0.7" right="0.7" top="0.75" bottom="0.75" header="0.3" footer="0.3"/>
  <ignoredErrors>
    <ignoredError sqref="A1:C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批次</vt:lpstr>
      <vt:lpstr>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YCS-RitaCheng鄭名妤</cp:lastModifiedBy>
  <dcterms:modified xsi:type="dcterms:W3CDTF">2026-05-26T08:56:22Z</dcterms:modified>
</cp:coreProperties>
</file>