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3\共用暫存\Weber\PM\"/>
    </mc:Choice>
  </mc:AlternateContent>
  <bookViews>
    <workbookView xWindow="6252" yWindow="0" windowWidth="17448" windowHeight="16632"/>
  </bookViews>
  <sheets>
    <sheet name="批次" sheetId="1" r:id="rId1"/>
    <sheet name="說明" sheetId="2" r:id="rId2"/>
    <sheet name="分析及備註" sheetId="3" r:id="rId3"/>
  </sheets>
  <calcPr calcId="162913"/>
</workbook>
</file>

<file path=xl/calcChain.xml><?xml version="1.0" encoding="utf-8"?>
<calcChain xmlns="http://schemas.openxmlformats.org/spreadsheetml/2006/main">
  <c r="F13" i="3" l="1"/>
  <c r="H15" i="3" l="1"/>
  <c r="J15" i="3" s="1"/>
  <c r="H13" i="3"/>
  <c r="E13" i="3"/>
  <c r="E12" i="3"/>
  <c r="E11" i="3"/>
  <c r="E10" i="3"/>
  <c r="E9" i="3"/>
  <c r="E8" i="3"/>
  <c r="E6" i="3"/>
  <c r="I5" i="3"/>
  <c r="J5" i="3" s="1"/>
  <c r="E4" i="3"/>
  <c r="J2" i="3"/>
  <c r="J13" i="3" l="1"/>
</calcChain>
</file>

<file path=xl/sharedStrings.xml><?xml version="1.0" encoding="utf-8"?>
<sst xmlns="http://schemas.openxmlformats.org/spreadsheetml/2006/main" count="150" uniqueCount="54">
  <si>
    <t>專案代號</t>
  </si>
  <si>
    <t>PM工號</t>
  </si>
  <si>
    <t>序號</t>
  </si>
  <si>
    <t>工作項目名稱</t>
  </si>
  <si>
    <t>預估工時</t>
  </si>
  <si>
    <t>警示工時</t>
  </si>
  <si>
    <t>PY265-0080</t>
  </si>
  <si>
    <t>10101209</t>
  </si>
  <si>
    <t>1</t>
  </si>
  <si>
    <t>(軟體)軟體建置開發及測試</t>
  </si>
  <si>
    <t>100</t>
  </si>
  <si>
    <t>2</t>
  </si>
  <si>
    <t>(軟體)專案庶務及聯繫</t>
  </si>
  <si>
    <t>3</t>
  </si>
  <si>
    <t>(協作單位)專案執行</t>
  </si>
  <si>
    <t>PM WorkItem 批次匯入 — 填寫說明</t>
  </si>
  <si>
    <t>1. 請在「批次」工作表填寫；每一個專案固定 3 列（序號 1～3）。</t>
  </si>
  <si>
    <t>2. 專案代號：例如 PY265-0080；PM工號：建立 PM 對應時的新增人員工號。</t>
  </si>
  <si>
    <t>3. 工作項目名稱請與範例一致（含前綴軟體/協作單位），工時可依專案調整。</t>
  </si>
  <si>
    <t>4. 可一次填多個專案：同一專案代號+PM工號連續 3 列，再填下一專案。</t>
  </si>
  <si>
    <t>5. 執行：npm run test:workitem-adder（或設定環境變數 BPM_PM_WORK_ITEMS_XLSX 指向你的檔案）</t>
  </si>
  <si>
    <t>欄位</t>
  </si>
  <si>
    <t>說明</t>
  </si>
  <si>
    <t>範例</t>
  </si>
  <si>
    <t>BPM 專案 PY 編號</t>
  </si>
  <si>
    <t>新增 PM 對應用員工編號</t>
  </si>
  <si>
    <t>WorkItem 序號 1～3</t>
  </si>
  <si>
    <t>三項固定名稱</t>
  </si>
  <si>
    <t>預估總工時</t>
  </si>
  <si>
    <t>警示門檻工時</t>
  </si>
  <si>
    <t>PY255-0152</t>
    <phoneticPr fontId="1" type="noConversion"/>
  </si>
  <si>
    <t>10100616</t>
    <phoneticPr fontId="1" type="noConversion"/>
  </si>
  <si>
    <t>1</t>
    <phoneticPr fontId="1" type="noConversion"/>
  </si>
  <si>
    <t>全部工時</t>
    <phoneticPr fontId="1" type="noConversion"/>
  </si>
  <si>
    <t>已投入工時</t>
    <phoneticPr fontId="1" type="noConversion"/>
  </si>
  <si>
    <t>剩餘可用</t>
    <phoneticPr fontId="1" type="noConversion"/>
  </si>
  <si>
    <t>總警示</t>
    <phoneticPr fontId="1" type="noConversion"/>
  </si>
  <si>
    <t>PY245-0088</t>
    <phoneticPr fontId="1" type="noConversion"/>
  </si>
  <si>
    <t>PY245-0129</t>
  </si>
  <si>
    <t>備註</t>
    <phoneticPr fontId="1" type="noConversion"/>
  </si>
  <si>
    <t>尚餘4廠未施作(9hr*4)，已投入未加上業務SR工時(YCSSR-A0424202500018，111.5)</t>
    <phoneticPr fontId="1" type="noConversion"/>
  </si>
  <si>
    <t>PY245-0134</t>
    <phoneticPr fontId="1" type="noConversion"/>
  </si>
  <si>
    <t>PY245-0196</t>
    <phoneticPr fontId="1" type="noConversion"/>
  </si>
  <si>
    <t>PY245-0256</t>
    <phoneticPr fontId="1" type="noConversion"/>
  </si>
  <si>
    <t xml:space="preserve">PY255-0002 </t>
    <phoneticPr fontId="1" type="noConversion"/>
  </si>
  <si>
    <t>PY255-0025</t>
    <phoneticPr fontId="1" type="noConversion"/>
  </si>
  <si>
    <t>PY255-0031</t>
    <phoneticPr fontId="1" type="noConversion"/>
  </si>
  <si>
    <t>PY255-0032</t>
  </si>
  <si>
    <t>PY255-0189</t>
    <phoneticPr fontId="1" type="noConversion"/>
  </si>
  <si>
    <t>5200*256=1,331,200(原預算人力)
6000/8*710=532,500(預估已投入人力)
1,331,200-532,500=798,700(可用人力) --&gt; 133MD</t>
    <phoneticPr fontId="1" type="noConversion"/>
  </si>
  <si>
    <t>(軟體)軟體建置開發及測試</t>
    <phoneticPr fontId="1" type="noConversion"/>
  </si>
  <si>
    <t>(軟體)專案庶務及聯繫</t>
    <phoneticPr fontId="1" type="noConversion"/>
  </si>
  <si>
    <t>(協作單位)專案執行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</si>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</sst>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_);[Red]\(0\)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49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 wrapText="1"/>
    </xf>
    <xf numFmtId="49" fontId="2" fillId="0" borderId="0" xfId="0" applyNumberFormat="1" applyFont="1"/>
    <xf numFmtId="177" fontId="3" fillId="0" borderId="0" xfId="0" applyNumberFormat="1" applyFont="1"/>
    <xf numFmtId="49" fontId="2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49" fontId="3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/>
  </sheetViews>
  <sheetFormatPr defaultRowHeight="16.2" x14ac:dyDescent="0.3"/>
  <cols>
    <col min="1" max="1" width="12.109375" style="1" bestFit="1" customWidth="1"/>
    <col min="2" max="2" width="9.5546875" style="1" bestFit="1" customWidth="1"/>
    <col min="3" max="3" width="6" style="1" bestFit="1" customWidth="1"/>
    <col min="4" max="4" width="29" style="1" bestFit="1" customWidth="1"/>
    <col min="5" max="6" width="10.44140625" style="3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x14ac:dyDescent="0.3">
      <c r="A2" s="1" t="s">
        <v>37</v>
      </c>
      <c r="B2" s="1" t="s">
        <v>31</v>
      </c>
      <c r="C2" s="1" t="s">
        <v>8</v>
      </c>
      <c r="D2" s="1" t="s">
        <v>50</v>
      </c>
      <c r="E2" s="3">
        <v>924</v>
      </c>
      <c r="F2" s="3">
        <v>160</v>
      </c>
    </row>
    <row r="3" spans="1:6" x14ac:dyDescent="0.3">
      <c r="A3" s="1" t="s">
        <v>38</v>
      </c>
      <c r="B3" s="1" t="s">
        <v>31</v>
      </c>
      <c r="C3" s="1" t="s">
        <v>32</v>
      </c>
      <c r="D3" s="1" t="s">
        <v>14</v>
      </c>
      <c r="E3" s="3">
        <v>379</v>
      </c>
      <c r="F3" s="3">
        <v>36</v>
      </c>
    </row>
    <row r="4" spans="1:6" x14ac:dyDescent="0.3">
      <c r="A4" s="1" t="s">
        <v>41</v>
      </c>
      <c r="B4" s="1" t="s">
        <v>31</v>
      </c>
      <c r="C4" s="1" t="s">
        <v>32</v>
      </c>
      <c r="D4" s="1" t="s">
        <v>9</v>
      </c>
      <c r="E4" s="3">
        <v>803.5</v>
      </c>
      <c r="F4" s="3">
        <v>160</v>
      </c>
    </row>
    <row r="5" spans="1:6" x14ac:dyDescent="0.3">
      <c r="A5" s="1" t="s">
        <v>42</v>
      </c>
      <c r="B5" s="1" t="s">
        <v>31</v>
      </c>
      <c r="C5" s="1" t="s">
        <v>32</v>
      </c>
      <c r="D5" s="1" t="s">
        <v>9</v>
      </c>
      <c r="E5" s="3">
        <v>850</v>
      </c>
      <c r="F5" s="3">
        <v>48</v>
      </c>
    </row>
    <row r="6" spans="1:6" x14ac:dyDescent="0.3">
      <c r="A6" s="1" t="s">
        <v>43</v>
      </c>
      <c r="B6" s="1" t="s">
        <v>31</v>
      </c>
      <c r="C6" s="1" t="s">
        <v>32</v>
      </c>
      <c r="D6" s="1" t="s">
        <v>9</v>
      </c>
      <c r="E6" s="3">
        <v>692</v>
      </c>
      <c r="F6" s="3">
        <v>160</v>
      </c>
    </row>
    <row r="7" spans="1:6" s="8" customFormat="1" x14ac:dyDescent="0.3">
      <c r="A7" s="8" t="s">
        <v>44</v>
      </c>
      <c r="B7" s="8" t="s">
        <v>31</v>
      </c>
      <c r="C7" s="8" t="s">
        <v>32</v>
      </c>
      <c r="D7" s="8" t="s">
        <v>9</v>
      </c>
      <c r="E7" s="9">
        <v>730</v>
      </c>
      <c r="F7" s="9">
        <v>160</v>
      </c>
    </row>
    <row r="8" spans="1:6" s="8" customFormat="1" x14ac:dyDescent="0.3">
      <c r="A8" s="8" t="s">
        <v>45</v>
      </c>
      <c r="B8" s="8" t="s">
        <v>31</v>
      </c>
      <c r="C8" s="8" t="s">
        <v>32</v>
      </c>
      <c r="D8" s="8" t="s">
        <v>9</v>
      </c>
      <c r="E8" s="9">
        <v>963.5</v>
      </c>
      <c r="F8" s="9">
        <v>160</v>
      </c>
    </row>
    <row r="9" spans="1:6" x14ac:dyDescent="0.3">
      <c r="A9" s="1" t="s">
        <v>46</v>
      </c>
      <c r="B9" s="1" t="s">
        <v>31</v>
      </c>
      <c r="C9" s="1" t="s">
        <v>32</v>
      </c>
      <c r="D9" s="1" t="s">
        <v>9</v>
      </c>
      <c r="E9" s="3">
        <v>314.5</v>
      </c>
      <c r="F9" s="3">
        <v>160</v>
      </c>
    </row>
    <row r="10" spans="1:6" x14ac:dyDescent="0.3">
      <c r="A10" s="1" t="s">
        <v>47</v>
      </c>
      <c r="B10" s="1" t="s">
        <v>31</v>
      </c>
      <c r="C10" s="1" t="s">
        <v>32</v>
      </c>
      <c r="D10" s="1" t="s">
        <v>9</v>
      </c>
      <c r="E10" s="3">
        <v>240</v>
      </c>
      <c r="F10" s="3">
        <v>160</v>
      </c>
    </row>
    <row r="11" spans="1:6" s="10" customFormat="1" x14ac:dyDescent="0.3">
      <c r="A11" s="10" t="s">
        <v>48</v>
      </c>
      <c r="B11" s="10" t="s">
        <v>7</v>
      </c>
      <c r="C11" s="10" t="s">
        <v>8</v>
      </c>
      <c r="D11" s="10" t="s">
        <v>9</v>
      </c>
      <c r="E11" s="11">
        <v>1904</v>
      </c>
      <c r="F11" s="11">
        <v>192</v>
      </c>
    </row>
    <row r="12" spans="1:6" s="12" customFormat="1" x14ac:dyDescent="0.3">
      <c r="A12" s="12" t="s">
        <v>48</v>
      </c>
      <c r="B12" s="12" t="s">
        <v>7</v>
      </c>
      <c r="C12" s="12" t="s">
        <v>11</v>
      </c>
      <c r="D12" s="12" t="s">
        <v>12</v>
      </c>
      <c r="E12" s="9">
        <v>48</v>
      </c>
      <c r="F12" s="9">
        <v>40</v>
      </c>
    </row>
    <row r="13" spans="1:6" s="12" customFormat="1" x14ac:dyDescent="0.3">
      <c r="A13" s="12" t="s">
        <v>48</v>
      </c>
      <c r="B13" s="12" t="s">
        <v>7</v>
      </c>
      <c r="C13" s="12" t="s">
        <v>13</v>
      </c>
      <c r="D13" s="12" t="s">
        <v>14</v>
      </c>
      <c r="E13" s="9">
        <v>96</v>
      </c>
      <c r="F13" s="9">
        <v>80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6.2" x14ac:dyDescent="0.3"/>
  <sheetData>
    <row r="1" spans="1:3" x14ac:dyDescent="0.3">
      <c r="A1" t="s">
        <v>15</v>
      </c>
    </row>
    <row r="3" spans="1:3" x14ac:dyDescent="0.3">
      <c r="A3" t="s">
        <v>16</v>
      </c>
    </row>
    <row r="4" spans="1:3" x14ac:dyDescent="0.3">
      <c r="A4" t="s">
        <v>17</v>
      </c>
    </row>
    <row r="5" spans="1:3" x14ac:dyDescent="0.3">
      <c r="A5" t="s">
        <v>18</v>
      </c>
    </row>
    <row r="6" spans="1:3" x14ac:dyDescent="0.3">
      <c r="A6" t="s">
        <v>19</v>
      </c>
    </row>
    <row r="7" spans="1:3" x14ac:dyDescent="0.3">
      <c r="A7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0</v>
      </c>
      <c r="B10" t="s">
        <v>24</v>
      </c>
      <c r="C10" t="s">
        <v>6</v>
      </c>
    </row>
    <row r="11" spans="1:3" x14ac:dyDescent="0.3">
      <c r="A11" t="s">
        <v>1</v>
      </c>
      <c r="B11" t="s">
        <v>25</v>
      </c>
      <c r="C11" t="s">
        <v>7</v>
      </c>
    </row>
    <row r="12" spans="1:3" x14ac:dyDescent="0.3">
      <c r="A12" t="s">
        <v>2</v>
      </c>
      <c r="B12" t="s">
        <v>26</v>
      </c>
      <c r="C12" t="s">
        <v>8</v>
      </c>
    </row>
    <row r="13" spans="1:3" x14ac:dyDescent="0.3">
      <c r="A13" t="s">
        <v>3</v>
      </c>
      <c r="B13" t="s">
        <v>27</v>
      </c>
      <c r="C13" t="s">
        <v>9</v>
      </c>
    </row>
    <row r="14" spans="1:3" x14ac:dyDescent="0.3">
      <c r="A14" t="s">
        <v>4</v>
      </c>
      <c r="B14" t="s">
        <v>28</v>
      </c>
      <c r="C14" t="s">
        <v>10</v>
      </c>
    </row>
    <row r="15" spans="1:3" x14ac:dyDescent="0.3">
      <c r="A15" t="s">
        <v>5</v>
      </c>
      <c r="B15" t="s">
        <v>29</v>
      </c>
      <c r="C15" t="s">
        <v>10</v>
      </c>
    </row>
  </sheetData>
  <phoneticPr fontId="1" type="noConversion"/>
  <pageMargins left="0.7" right="0.7" top="0.75" bottom="0.75" header="0.3" footer="0.3"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F14" sqref="F14"/>
    </sheetView>
  </sheetViews>
  <sheetFormatPr defaultRowHeight="16.2" x14ac:dyDescent="0.3"/>
  <cols>
    <col min="1" max="1" width="12.109375" style="1" bestFit="1" customWidth="1"/>
    <col min="2" max="2" width="9.5546875" style="1" bestFit="1" customWidth="1"/>
    <col min="3" max="3" width="6" style="1" bestFit="1" customWidth="1"/>
    <col min="4" max="4" width="29" style="1" bestFit="1" customWidth="1"/>
    <col min="5" max="6" width="10.44140625" style="3" bestFit="1" customWidth="1"/>
    <col min="7" max="7" width="8.88671875" style="2"/>
    <col min="8" max="8" width="10.44140625" style="3" bestFit="1" customWidth="1"/>
    <col min="9" max="9" width="12.88671875" style="3" bestFit="1" customWidth="1"/>
    <col min="10" max="11" width="10.44140625" style="3" bestFit="1" customWidth="1"/>
    <col min="12" max="12" width="56" style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H1" s="3" t="s">
        <v>33</v>
      </c>
      <c r="I1" s="3" t="s">
        <v>34</v>
      </c>
      <c r="J1" s="3" t="s">
        <v>35</v>
      </c>
      <c r="K1" s="3" t="s">
        <v>36</v>
      </c>
      <c r="L1" s="1" t="s">
        <v>39</v>
      </c>
    </row>
    <row r="2" spans="1:12" x14ac:dyDescent="0.3">
      <c r="A2" s="1" t="s">
        <v>30</v>
      </c>
      <c r="B2" s="1" t="s">
        <v>31</v>
      </c>
      <c r="C2" s="1" t="s">
        <v>32</v>
      </c>
      <c r="D2" s="1" t="s">
        <v>9</v>
      </c>
      <c r="E2" s="3">
        <v>780</v>
      </c>
      <c r="F2" s="3">
        <v>280</v>
      </c>
      <c r="H2" s="3">
        <v>880</v>
      </c>
      <c r="I2" s="3">
        <v>479</v>
      </c>
      <c r="J2" s="3">
        <f>H2-I2</f>
        <v>401</v>
      </c>
      <c r="K2" s="3">
        <v>360</v>
      </c>
    </row>
    <row r="3" spans="1:12" x14ac:dyDescent="0.3">
      <c r="A3" s="1" t="s">
        <v>30</v>
      </c>
      <c r="B3" s="1" t="s">
        <v>31</v>
      </c>
      <c r="C3" s="1" t="s">
        <v>11</v>
      </c>
      <c r="D3" s="1" t="s">
        <v>12</v>
      </c>
      <c r="E3" s="3">
        <v>100</v>
      </c>
      <c r="F3" s="3">
        <v>80</v>
      </c>
    </row>
    <row r="4" spans="1:12" x14ac:dyDescent="0.3">
      <c r="A4" s="1" t="s">
        <v>37</v>
      </c>
      <c r="B4" s="1" t="s">
        <v>31</v>
      </c>
      <c r="C4" s="1" t="s">
        <v>8</v>
      </c>
      <c r="D4" s="1" t="s">
        <v>9</v>
      </c>
      <c r="E4" s="3">
        <f>200+I4</f>
        <v>924</v>
      </c>
      <c r="F4" s="3">
        <v>160</v>
      </c>
      <c r="H4" s="3">
        <v>1060</v>
      </c>
      <c r="I4" s="3">
        <v>724</v>
      </c>
      <c r="J4" s="3">
        <v>336</v>
      </c>
      <c r="K4" s="3">
        <v>160</v>
      </c>
    </row>
    <row r="5" spans="1:12" x14ac:dyDescent="0.3">
      <c r="A5" s="1" t="s">
        <v>38</v>
      </c>
      <c r="B5" s="1" t="s">
        <v>31</v>
      </c>
      <c r="C5" s="1" t="s">
        <v>32</v>
      </c>
      <c r="D5" s="1" t="s">
        <v>14</v>
      </c>
      <c r="E5" s="3">
        <v>379</v>
      </c>
      <c r="F5" s="3">
        <v>36</v>
      </c>
      <c r="H5" s="3">
        <v>379</v>
      </c>
      <c r="I5" s="3">
        <f>272</f>
        <v>272</v>
      </c>
      <c r="J5" s="3">
        <f>H5-I5</f>
        <v>107</v>
      </c>
      <c r="K5" s="3">
        <v>36</v>
      </c>
      <c r="L5" s="1" t="s">
        <v>40</v>
      </c>
    </row>
    <row r="6" spans="1:12" x14ac:dyDescent="0.3">
      <c r="A6" s="1" t="s">
        <v>41</v>
      </c>
      <c r="B6" s="1" t="s">
        <v>31</v>
      </c>
      <c r="C6" s="1" t="s">
        <v>32</v>
      </c>
      <c r="D6" s="1" t="s">
        <v>9</v>
      </c>
      <c r="E6" s="3">
        <f>200+I6</f>
        <v>803.5</v>
      </c>
      <c r="F6" s="3">
        <v>160</v>
      </c>
      <c r="H6" s="3">
        <v>1404</v>
      </c>
      <c r="I6" s="3">
        <v>603.5</v>
      </c>
      <c r="J6" s="3">
        <v>800</v>
      </c>
      <c r="K6" s="3">
        <v>160</v>
      </c>
    </row>
    <row r="7" spans="1:12" x14ac:dyDescent="0.3">
      <c r="A7" s="1" t="s">
        <v>42</v>
      </c>
      <c r="B7" s="1" t="s">
        <v>31</v>
      </c>
      <c r="C7" s="1" t="s">
        <v>32</v>
      </c>
      <c r="D7" s="1" t="s">
        <v>9</v>
      </c>
      <c r="E7" s="3">
        <v>850</v>
      </c>
      <c r="F7" s="3">
        <v>48</v>
      </c>
      <c r="H7" s="3">
        <v>850</v>
      </c>
      <c r="I7" s="3">
        <v>794.1</v>
      </c>
      <c r="J7" s="3">
        <v>56</v>
      </c>
      <c r="K7" s="3">
        <v>48</v>
      </c>
    </row>
    <row r="8" spans="1:12" x14ac:dyDescent="0.3">
      <c r="A8" s="1" t="s">
        <v>43</v>
      </c>
      <c r="B8" s="1" t="s">
        <v>31</v>
      </c>
      <c r="C8" s="1" t="s">
        <v>32</v>
      </c>
      <c r="D8" s="1" t="s">
        <v>9</v>
      </c>
      <c r="E8" s="3">
        <f>200+I8</f>
        <v>692</v>
      </c>
      <c r="F8" s="3">
        <v>160</v>
      </c>
      <c r="H8" s="3">
        <v>1772</v>
      </c>
      <c r="I8" s="3">
        <v>492</v>
      </c>
      <c r="J8" s="3">
        <v>1280</v>
      </c>
      <c r="K8" s="3">
        <v>160</v>
      </c>
    </row>
    <row r="9" spans="1:12" x14ac:dyDescent="0.3">
      <c r="A9" s="1" t="s">
        <v>44</v>
      </c>
      <c r="B9" s="1" t="s">
        <v>31</v>
      </c>
      <c r="C9" s="1" t="s">
        <v>32</v>
      </c>
      <c r="D9" s="1" t="s">
        <v>9</v>
      </c>
      <c r="E9" s="3">
        <f>200+I9</f>
        <v>730</v>
      </c>
      <c r="F9" s="3">
        <v>160</v>
      </c>
      <c r="I9" s="3">
        <v>530</v>
      </c>
      <c r="K9" s="3">
        <v>160</v>
      </c>
    </row>
    <row r="10" spans="1:12" x14ac:dyDescent="0.3">
      <c r="A10" s="1" t="s">
        <v>45</v>
      </c>
      <c r="B10" s="1" t="s">
        <v>31</v>
      </c>
      <c r="C10" s="1" t="s">
        <v>32</v>
      </c>
      <c r="D10" s="1" t="s">
        <v>9</v>
      </c>
      <c r="E10" s="3">
        <f>200+I10</f>
        <v>963.5</v>
      </c>
      <c r="F10" s="3">
        <v>160</v>
      </c>
      <c r="I10" s="3">
        <v>763.5</v>
      </c>
      <c r="K10" s="3">
        <v>160</v>
      </c>
    </row>
    <row r="11" spans="1:12" x14ac:dyDescent="0.3">
      <c r="A11" s="1" t="s">
        <v>46</v>
      </c>
      <c r="B11" s="1" t="s">
        <v>31</v>
      </c>
      <c r="C11" s="1" t="s">
        <v>32</v>
      </c>
      <c r="D11" s="1" t="s">
        <v>9</v>
      </c>
      <c r="E11" s="3">
        <f>200+I11</f>
        <v>314.5</v>
      </c>
      <c r="F11" s="3">
        <v>160</v>
      </c>
      <c r="I11" s="3">
        <v>114.5</v>
      </c>
      <c r="K11" s="3">
        <v>160</v>
      </c>
    </row>
    <row r="12" spans="1:12" x14ac:dyDescent="0.3">
      <c r="A12" s="1" t="s">
        <v>47</v>
      </c>
      <c r="B12" s="1" t="s">
        <v>31</v>
      </c>
      <c r="C12" s="1" t="s">
        <v>32</v>
      </c>
      <c r="D12" s="1" t="s">
        <v>9</v>
      </c>
      <c r="E12" s="3">
        <f>200+I12</f>
        <v>240</v>
      </c>
      <c r="F12" s="3">
        <v>160</v>
      </c>
      <c r="I12" s="3">
        <v>40</v>
      </c>
      <c r="K12" s="3">
        <v>160</v>
      </c>
    </row>
    <row r="13" spans="1:12" s="4" customFormat="1" ht="48.6" x14ac:dyDescent="0.3">
      <c r="A13" s="4" t="s">
        <v>48</v>
      </c>
      <c r="B13" s="4" t="s">
        <v>7</v>
      </c>
      <c r="C13" s="4" t="s">
        <v>8</v>
      </c>
      <c r="D13" s="4" t="s">
        <v>9</v>
      </c>
      <c r="E13" s="5">
        <f>1952-E14</f>
        <v>1904</v>
      </c>
      <c r="F13" s="5">
        <f>240-E14</f>
        <v>192</v>
      </c>
      <c r="G13" s="6"/>
      <c r="H13" s="5">
        <f>2048-H15</f>
        <v>1952</v>
      </c>
      <c r="I13" s="5">
        <v>718</v>
      </c>
      <c r="J13" s="5">
        <f>133*8-I13-H15</f>
        <v>250</v>
      </c>
      <c r="K13" s="5">
        <v>240</v>
      </c>
      <c r="L13" s="7" t="s">
        <v>49</v>
      </c>
    </row>
    <row r="14" spans="1:12" x14ac:dyDescent="0.3">
      <c r="A14" s="1" t="s">
        <v>48</v>
      </c>
      <c r="B14" s="1" t="s">
        <v>7</v>
      </c>
      <c r="C14" s="1" t="s">
        <v>11</v>
      </c>
      <c r="D14" s="1" t="s">
        <v>51</v>
      </c>
      <c r="E14" s="3">
        <v>48</v>
      </c>
      <c r="F14" s="3">
        <v>40</v>
      </c>
    </row>
    <row r="15" spans="1:12" x14ac:dyDescent="0.3">
      <c r="A15" s="1" t="s">
        <v>48</v>
      </c>
      <c r="B15" s="1" t="s">
        <v>7</v>
      </c>
      <c r="C15" s="1" t="s">
        <v>53</v>
      </c>
      <c r="D15" s="1" t="s">
        <v>52</v>
      </c>
      <c r="E15" s="3">
        <v>96</v>
      </c>
      <c r="F15" s="3">
        <v>80</v>
      </c>
      <c r="H15" s="3">
        <f>12*8</f>
        <v>96</v>
      </c>
      <c r="I15" s="3">
        <v>0</v>
      </c>
      <c r="J15" s="3">
        <f>H15</f>
        <v>96</v>
      </c>
      <c r="K15" s="3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批次</vt:lpstr>
      <vt:lpstr>說明</vt:lpstr>
      <vt:lpstr>分析及備註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ShellyChen陳學誼</cp:lastModifiedBy>
  <dcterms:modified xsi:type="dcterms:W3CDTF">2026-05-26T08:29:22Z</dcterms:modified>
</cp:coreProperties>
</file>